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putacza-my.sharepoint.com/personal/vundlah_cput_ac_za/Documents/Documents/"/>
    </mc:Choice>
  </mc:AlternateContent>
  <xr:revisionPtr revIDLastSave="141" documentId="8_{D9D5CAFA-9364-405C-8471-26DFFD449940}" xr6:coauthVersionLast="47" xr6:coauthVersionMax="47" xr10:uidLastSave="{87DB3274-1243-4268-9AA0-EE32F87E78C5}"/>
  <bookViews>
    <workbookView xWindow="28680" yWindow="-120" windowWidth="29040" windowHeight="15720" xr2:uid="{EC0A2C48-94B1-43CA-AA16-9911795FA45F}"/>
  </bookViews>
  <sheets>
    <sheet name="FEBE ACADEMICS 2026" sheetId="1" r:id="rId1"/>
  </sheets>
  <externalReferences>
    <externalReference r:id="rId2"/>
  </externalReferences>
  <definedNames>
    <definedName name="_xlnm._FilterDatabase" localSheetId="0" hidden="1">'FEBE ACADEMICS 2026'!$A$1:$BF$231</definedName>
    <definedName name="_Toc488474734">#REF!</definedName>
  </definedName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65" i="1" l="1"/>
  <c r="Q159" i="1"/>
  <c r="Q20" i="1"/>
  <c r="S20" i="1" s="1"/>
  <c r="Q116" i="1"/>
  <c r="Q125" i="1"/>
  <c r="Q174" i="1"/>
  <c r="Q141" i="1"/>
  <c r="Q150" i="1"/>
  <c r="Q27" i="1"/>
  <c r="Q156" i="1"/>
  <c r="Q74" i="1"/>
  <c r="Q8" i="1"/>
  <c r="S8" i="1" s="1"/>
  <c r="Q126" i="1"/>
  <c r="Q89" i="1"/>
  <c r="Q131" i="1"/>
  <c r="Q224" i="1"/>
  <c r="Q137" i="1"/>
  <c r="AM17" i="1"/>
  <c r="Q17" i="1"/>
  <c r="Q58" i="1"/>
  <c r="AM172" i="1"/>
  <c r="Q172" i="1"/>
  <c r="Q198" i="1"/>
  <c r="Q151" i="1"/>
  <c r="Q60" i="1"/>
  <c r="Q214" i="1"/>
  <c r="Q215" i="1"/>
  <c r="Q35" i="1"/>
  <c r="Q106" i="1"/>
  <c r="AM177" i="1"/>
  <c r="Q177" i="1"/>
  <c r="Q187" i="1"/>
  <c r="Q51" i="1"/>
  <c r="Q28" i="1"/>
  <c r="Q143" i="1"/>
  <c r="Q114" i="1"/>
  <c r="Q103" i="1"/>
  <c r="Q25" i="1"/>
  <c r="S25" i="1" s="1"/>
  <c r="Q160" i="1"/>
  <c r="AM163" i="1"/>
  <c r="Q163" i="1"/>
  <c r="Q166" i="1"/>
  <c r="Q107" i="1"/>
  <c r="Q195" i="1"/>
  <c r="AM92" i="1"/>
  <c r="Q92" i="1"/>
  <c r="Q110" i="1"/>
  <c r="Q165" i="1"/>
  <c r="S100" i="1"/>
  <c r="R100" i="1"/>
  <c r="Q212" i="1"/>
  <c r="Q167" i="1"/>
  <c r="S230" i="1"/>
  <c r="R230" i="1"/>
  <c r="Q179" i="1"/>
  <c r="Q111" i="1"/>
  <c r="Q18" i="1"/>
  <c r="S18" i="1" s="1"/>
  <c r="Q227" i="1"/>
  <c r="Q200" i="1"/>
  <c r="Q201" i="1"/>
  <c r="Q199" i="1"/>
  <c r="Q31" i="1"/>
  <c r="Q46" i="1"/>
  <c r="AM93" i="1"/>
  <c r="Q93" i="1"/>
  <c r="Q149" i="1"/>
  <c r="Q95" i="1"/>
  <c r="Q182" i="1"/>
  <c r="Q14" i="1"/>
  <c r="S14" i="1" s="1"/>
  <c r="Q55" i="1"/>
  <c r="Q45" i="1"/>
  <c r="AM220" i="1"/>
  <c r="Q219" i="1"/>
  <c r="Q63" i="1"/>
  <c r="AM216" i="1"/>
  <c r="Q216" i="1"/>
  <c r="Q43" i="1"/>
  <c r="Q44" i="1"/>
  <c r="Q104" i="1"/>
  <c r="AM19" i="1"/>
  <c r="Q19" i="1"/>
  <c r="S19" i="1" s="1"/>
  <c r="Q129" i="1"/>
  <c r="Q84" i="1"/>
  <c r="Q154" i="1"/>
  <c r="AM142" i="1"/>
  <c r="Q142" i="1"/>
  <c r="Q15" i="1"/>
  <c r="S15" i="1" s="1"/>
  <c r="S6" i="1"/>
  <c r="R6" i="1"/>
  <c r="Q190" i="1"/>
  <c r="Q49" i="1"/>
  <c r="Q185" i="1"/>
  <c r="Q184" i="1"/>
  <c r="AM86" i="1"/>
  <c r="Q86" i="1"/>
  <c r="S12" i="1"/>
  <c r="R12" i="1"/>
  <c r="Q66" i="1"/>
  <c r="Q121" i="1"/>
  <c r="AM127" i="1"/>
  <c r="Q127" i="1"/>
  <c r="Q181" i="1"/>
  <c r="Q176" i="1"/>
  <c r="Q88" i="1"/>
  <c r="Q117" i="1"/>
  <c r="Q67" i="1"/>
  <c r="Q10" i="1"/>
  <c r="S10" i="1" s="1"/>
  <c r="Q99" i="1"/>
  <c r="AM5" i="1"/>
  <c r="Q5" i="1"/>
  <c r="S5" i="1" s="1"/>
  <c r="AM96" i="1"/>
  <c r="AM34" i="1"/>
  <c r="Q34" i="1"/>
  <c r="Q70" i="1"/>
  <c r="Q157" i="1"/>
  <c r="S138" i="1"/>
  <c r="R138" i="1"/>
  <c r="AM36" i="1"/>
  <c r="Q36" i="1"/>
  <c r="Q175" i="1"/>
  <c r="Q132" i="1"/>
  <c r="Q124" i="1"/>
  <c r="Q24" i="1"/>
  <c r="S24" i="1" s="1"/>
  <c r="AN222" i="1"/>
  <c r="Q222" i="1"/>
  <c r="Q61" i="1"/>
  <c r="Q26" i="1"/>
  <c r="S128" i="1"/>
  <c r="R128" i="1"/>
  <c r="Q87" i="1"/>
  <c r="Q97" i="1"/>
  <c r="Q2" i="1"/>
  <c r="S2" i="1" s="1"/>
  <c r="Q209" i="1"/>
  <c r="AM105" i="1"/>
  <c r="Q105" i="1"/>
  <c r="Q207" i="1"/>
  <c r="Q183" i="1"/>
  <c r="AM225" i="1"/>
  <c r="Q225" i="1"/>
  <c r="Q80" i="1"/>
  <c r="Q76" i="1"/>
  <c r="S112" i="1"/>
  <c r="R112" i="1"/>
  <c r="AM144" i="1"/>
  <c r="Q144" i="1"/>
  <c r="Q191" i="1"/>
  <c r="Q188" i="1"/>
  <c r="AM170" i="1"/>
  <c r="Q206" i="1"/>
  <c r="Q202" i="1"/>
  <c r="AM205" i="1"/>
  <c r="Q205" i="1"/>
  <c r="Q79" i="1"/>
  <c r="Q29" i="1"/>
  <c r="Q75" i="1"/>
  <c r="Q52" i="1"/>
  <c r="Q226" i="1"/>
  <c r="S120" i="1"/>
  <c r="R120" i="1"/>
  <c r="S152" i="1"/>
  <c r="R152" i="1"/>
  <c r="AM40" i="1"/>
  <c r="Q40" i="1"/>
  <c r="Q161" i="1"/>
  <c r="Q56" i="1"/>
  <c r="Q59" i="1"/>
  <c r="Q98" i="1"/>
  <c r="Q115" i="1"/>
  <c r="AM64" i="1"/>
  <c r="Q64" i="1"/>
  <c r="Q173" i="1"/>
  <c r="Q71" i="1"/>
  <c r="Q192" i="1"/>
  <c r="Q69" i="1"/>
  <c r="Q113" i="1"/>
  <c r="Q53" i="1"/>
  <c r="Q57" i="1"/>
  <c r="Q140" i="1"/>
  <c r="Q101" i="1"/>
  <c r="Q73" i="1"/>
  <c r="S72" i="1"/>
  <c r="R72" i="1"/>
  <c r="Q77" i="1"/>
  <c r="S42" i="1"/>
  <c r="R42" i="1"/>
  <c r="Q3" i="1"/>
  <c r="S3" i="1" s="1"/>
  <c r="Q228" i="1"/>
  <c r="Q48" i="1"/>
  <c r="Q41" i="1"/>
  <c r="Q221" i="1"/>
  <c r="Q33" i="1"/>
  <c r="Q218" i="1"/>
  <c r="Q145" i="1"/>
  <c r="Q133" i="1"/>
  <c r="Q148" i="1"/>
  <c r="Q108" i="1"/>
  <c r="Q50" i="1"/>
  <c r="Q22" i="1"/>
  <c r="S22" i="1" s="1"/>
  <c r="AM91" i="1"/>
  <c r="Q91" i="1"/>
  <c r="Q164" i="1"/>
  <c r="Q78" i="1"/>
  <c r="Q62" i="1"/>
  <c r="AM213" i="1"/>
  <c r="Q213" i="1"/>
  <c r="Q135" i="1"/>
  <c r="Q134" i="1"/>
  <c r="Q81" i="1"/>
  <c r="Q23" i="1"/>
  <c r="S23" i="1" s="1"/>
  <c r="Q39" i="1"/>
  <c r="Q102" i="1"/>
  <c r="AM13" i="1"/>
  <c r="Q13" i="1"/>
  <c r="S13" i="1" s="1"/>
  <c r="AM180" i="1"/>
  <c r="Q180" i="1"/>
  <c r="Q189" i="1"/>
  <c r="AM208" i="1"/>
  <c r="Q208" i="1"/>
  <c r="AN186" i="1"/>
  <c r="AM186" i="1"/>
  <c r="Q186" i="1"/>
  <c r="AM178" i="1"/>
  <c r="Q178" i="1"/>
  <c r="Q32" i="1"/>
  <c r="Q54" i="1"/>
  <c r="Q30" i="1"/>
  <c r="AM11" i="1"/>
  <c r="Q11" i="1"/>
  <c r="S11" i="1" s="1"/>
  <c r="Q210" i="1"/>
  <c r="AM4" i="1"/>
  <c r="Q4" i="1"/>
  <c r="S4" i="1" s="1"/>
  <c r="AM9" i="1"/>
  <c r="Q9" i="1"/>
  <c r="S9" i="1" s="1"/>
  <c r="Q194" i="1"/>
  <c r="Q123" i="1"/>
  <c r="Q229" i="1"/>
  <c r="Q171" i="1"/>
  <c r="Q1" i="1"/>
  <c r="R65" i="1" l="1"/>
  <c r="S65" i="1"/>
  <c r="S92" i="1"/>
  <c r="R92" i="1"/>
  <c r="S116" i="1"/>
  <c r="R116" i="1"/>
  <c r="S141" i="1"/>
  <c r="R141" i="1"/>
  <c r="S222" i="1"/>
  <c r="R222" i="1"/>
  <c r="S205" i="1"/>
  <c r="R205" i="1"/>
  <c r="S79" i="1"/>
  <c r="R79" i="1"/>
  <c r="S52" i="1"/>
  <c r="R52" i="1"/>
  <c r="S226" i="1"/>
  <c r="R226" i="1"/>
  <c r="R108" i="1"/>
  <c r="S108" i="1"/>
  <c r="S186" i="1"/>
  <c r="R186" i="1"/>
  <c r="S178" i="1"/>
  <c r="R178" i="1"/>
  <c r="S32" i="1"/>
  <c r="R32" i="1"/>
  <c r="S54" i="1"/>
  <c r="R54" i="1"/>
  <c r="S210" i="1"/>
  <c r="R210" i="1"/>
  <c r="S194" i="1"/>
  <c r="R194" i="1"/>
  <c r="S229" i="1"/>
  <c r="R229" i="1"/>
  <c r="S171" i="1"/>
  <c r="R171" i="1"/>
  <c r="R159" i="1"/>
  <c r="S159" i="1"/>
  <c r="R125" i="1"/>
  <c r="S125" i="1"/>
  <c r="S174" i="1"/>
  <c r="R174" i="1"/>
  <c r="S150" i="1"/>
  <c r="R150" i="1"/>
  <c r="S27" i="1"/>
  <c r="R27" i="1"/>
  <c r="S156" i="1"/>
  <c r="R156" i="1"/>
  <c r="R74" i="1"/>
  <c r="S74" i="1"/>
  <c r="S126" i="1"/>
  <c r="R126" i="1"/>
  <c r="S89" i="1"/>
  <c r="R89" i="1"/>
  <c r="S131" i="1"/>
  <c r="R131" i="1"/>
  <c r="S224" i="1"/>
  <c r="R224" i="1"/>
  <c r="R137" i="1"/>
  <c r="S137" i="1"/>
  <c r="S17" i="1"/>
  <c r="R17" i="1"/>
  <c r="S58" i="1"/>
  <c r="R58" i="1"/>
  <c r="R172" i="1"/>
  <c r="S172" i="1"/>
  <c r="S198" i="1"/>
  <c r="R198" i="1"/>
  <c r="S151" i="1"/>
  <c r="R151" i="1"/>
  <c r="S60" i="1"/>
  <c r="R60" i="1"/>
  <c r="S214" i="1"/>
  <c r="R214" i="1"/>
  <c r="S215" i="1"/>
  <c r="R215" i="1"/>
  <c r="S35" i="1"/>
  <c r="R35" i="1"/>
  <c r="S106" i="1"/>
  <c r="R106" i="1"/>
  <c r="S177" i="1"/>
  <c r="R177" i="1"/>
  <c r="S187" i="1"/>
  <c r="R187" i="1"/>
  <c r="R51" i="1"/>
  <c r="S51" i="1"/>
  <c r="R28" i="1"/>
  <c r="S28" i="1"/>
  <c r="R143" i="1"/>
  <c r="S143" i="1"/>
  <c r="S114" i="1"/>
  <c r="R114" i="1"/>
  <c r="S103" i="1"/>
  <c r="R103" i="1"/>
  <c r="S160" i="1"/>
  <c r="R160" i="1"/>
  <c r="S163" i="1"/>
  <c r="R163" i="1"/>
  <c r="S166" i="1"/>
  <c r="R166" i="1"/>
  <c r="S107" i="1"/>
  <c r="R107" i="1"/>
  <c r="S195" i="1"/>
  <c r="R195" i="1"/>
  <c r="S110" i="1"/>
  <c r="R110" i="1"/>
  <c r="S165" i="1"/>
  <c r="R165" i="1"/>
  <c r="S212" i="1"/>
  <c r="R212" i="1"/>
  <c r="S167" i="1"/>
  <c r="R167" i="1"/>
  <c r="S179" i="1"/>
  <c r="R179" i="1"/>
  <c r="S111" i="1"/>
  <c r="R111" i="1"/>
  <c r="S227" i="1"/>
  <c r="R227" i="1"/>
  <c r="S200" i="1"/>
  <c r="R200" i="1"/>
  <c r="S201" i="1"/>
  <c r="R201" i="1"/>
  <c r="S199" i="1"/>
  <c r="R199" i="1"/>
  <c r="R31" i="1"/>
  <c r="S31" i="1"/>
  <c r="R46" i="1"/>
  <c r="S46" i="1"/>
  <c r="S93" i="1"/>
  <c r="R93" i="1"/>
  <c r="S149" i="1"/>
  <c r="R149" i="1"/>
  <c r="S95" i="1"/>
  <c r="R95" i="1"/>
  <c r="R182" i="1"/>
  <c r="S182" i="1"/>
  <c r="S55" i="1"/>
  <c r="R55" i="1"/>
  <c r="R45" i="1"/>
  <c r="S45" i="1"/>
  <c r="S219" i="1"/>
  <c r="R219" i="1"/>
  <c r="S63" i="1"/>
  <c r="R63" i="1"/>
  <c r="S216" i="1"/>
  <c r="R216" i="1"/>
  <c r="R43" i="1"/>
  <c r="S43" i="1"/>
  <c r="R44" i="1"/>
  <c r="S44" i="1"/>
  <c r="R104" i="1"/>
  <c r="S104" i="1"/>
  <c r="R129" i="1"/>
  <c r="S129" i="1"/>
  <c r="R84" i="1"/>
  <c r="S84" i="1"/>
  <c r="S154" i="1"/>
  <c r="R154" i="1"/>
  <c r="R142" i="1"/>
  <c r="S142" i="1"/>
  <c r="S190" i="1"/>
  <c r="R190" i="1"/>
  <c r="S49" i="1"/>
  <c r="R49" i="1"/>
  <c r="S185" i="1"/>
  <c r="R185" i="1"/>
  <c r="S184" i="1"/>
  <c r="R184" i="1"/>
  <c r="S86" i="1"/>
  <c r="R86" i="1"/>
  <c r="R66" i="1"/>
  <c r="S66" i="1"/>
  <c r="S121" i="1"/>
  <c r="R121" i="1"/>
  <c r="S127" i="1"/>
  <c r="R127" i="1"/>
  <c r="S181" i="1"/>
  <c r="R181" i="1"/>
  <c r="R176" i="1"/>
  <c r="S176" i="1"/>
  <c r="S88" i="1"/>
  <c r="R88" i="1"/>
  <c r="S117" i="1"/>
  <c r="R117" i="1"/>
  <c r="S67" i="1"/>
  <c r="R67" i="1"/>
  <c r="R99" i="1"/>
  <c r="S99" i="1"/>
  <c r="S34" i="1"/>
  <c r="R34" i="1"/>
  <c r="R70" i="1"/>
  <c r="S70" i="1"/>
  <c r="R157" i="1"/>
  <c r="S157" i="1"/>
  <c r="S36" i="1"/>
  <c r="R36" i="1"/>
  <c r="S175" i="1"/>
  <c r="R175" i="1"/>
  <c r="R132" i="1"/>
  <c r="S132" i="1"/>
  <c r="R124" i="1"/>
  <c r="S124" i="1"/>
  <c r="S61" i="1"/>
  <c r="R61" i="1"/>
  <c r="S26" i="1"/>
  <c r="R26" i="1"/>
  <c r="S87" i="1"/>
  <c r="R87" i="1"/>
  <c r="R97" i="1"/>
  <c r="S97" i="1"/>
  <c r="S209" i="1"/>
  <c r="R209" i="1"/>
  <c r="R105" i="1"/>
  <c r="S105" i="1"/>
  <c r="R207" i="1"/>
  <c r="S207" i="1"/>
  <c r="R183" i="1"/>
  <c r="S183" i="1"/>
  <c r="R225" i="1"/>
  <c r="S225" i="1"/>
  <c r="S80" i="1"/>
  <c r="R80" i="1"/>
  <c r="S76" i="1"/>
  <c r="R76" i="1"/>
  <c r="S144" i="1"/>
  <c r="R144" i="1"/>
  <c r="S191" i="1"/>
  <c r="R191" i="1"/>
  <c r="S188" i="1"/>
  <c r="R188" i="1"/>
  <c r="S206" i="1"/>
  <c r="R206" i="1"/>
  <c r="R202" i="1"/>
  <c r="S202" i="1"/>
  <c r="R29" i="1"/>
  <c r="S29" i="1"/>
  <c r="S75" i="1"/>
  <c r="R75" i="1"/>
  <c r="S40" i="1"/>
  <c r="R40" i="1"/>
  <c r="S161" i="1"/>
  <c r="R161" i="1"/>
  <c r="R56" i="1"/>
  <c r="S56" i="1"/>
  <c r="R59" i="1"/>
  <c r="S59" i="1"/>
  <c r="R98" i="1"/>
  <c r="S98" i="1"/>
  <c r="S115" i="1"/>
  <c r="R115" i="1"/>
  <c r="S64" i="1"/>
  <c r="R64" i="1"/>
  <c r="R173" i="1"/>
  <c r="S173" i="1"/>
  <c r="S71" i="1"/>
  <c r="R71" i="1"/>
  <c r="S192" i="1"/>
  <c r="R192" i="1"/>
  <c r="S69" i="1"/>
  <c r="R69" i="1"/>
  <c r="S113" i="1"/>
  <c r="R113" i="1"/>
  <c r="S53" i="1"/>
  <c r="R53" i="1"/>
  <c r="S57" i="1"/>
  <c r="R57" i="1"/>
  <c r="R140" i="1"/>
  <c r="S140" i="1"/>
  <c r="R101" i="1"/>
  <c r="S101" i="1"/>
  <c r="S73" i="1"/>
  <c r="R73" i="1"/>
  <c r="R77" i="1"/>
  <c r="S77" i="1"/>
  <c r="S228" i="1"/>
  <c r="R228" i="1"/>
  <c r="R48" i="1"/>
  <c r="S48" i="1"/>
  <c r="R41" i="1"/>
  <c r="S41" i="1"/>
  <c r="R221" i="1"/>
  <c r="S221" i="1"/>
  <c r="S33" i="1"/>
  <c r="R33" i="1"/>
  <c r="S218" i="1"/>
  <c r="R218" i="1"/>
  <c r="S145" i="1"/>
  <c r="R145" i="1"/>
  <c r="S133" i="1"/>
  <c r="R133" i="1"/>
  <c r="S148" i="1"/>
  <c r="R148" i="1"/>
  <c r="S50" i="1"/>
  <c r="R50" i="1"/>
  <c r="S91" i="1"/>
  <c r="R91" i="1"/>
  <c r="S164" i="1"/>
  <c r="R164" i="1"/>
  <c r="S78" i="1"/>
  <c r="R78" i="1"/>
  <c r="S62" i="1"/>
  <c r="R62" i="1"/>
  <c r="S213" i="1"/>
  <c r="R213" i="1"/>
  <c r="R135" i="1"/>
  <c r="S135" i="1"/>
  <c r="R134" i="1"/>
  <c r="S134" i="1"/>
  <c r="R81" i="1"/>
  <c r="S81" i="1"/>
  <c r="R39" i="1"/>
  <c r="S39" i="1"/>
  <c r="R102" i="1"/>
  <c r="S102" i="1"/>
  <c r="R180" i="1"/>
  <c r="S180" i="1"/>
  <c r="S189" i="1"/>
  <c r="R189" i="1"/>
  <c r="S208" i="1"/>
  <c r="R208" i="1"/>
  <c r="R30" i="1"/>
  <c r="S30" i="1"/>
  <c r="S123" i="1"/>
  <c r="R123" i="1"/>
</calcChain>
</file>

<file path=xl/sharedStrings.xml><?xml version="1.0" encoding="utf-8"?>
<sst xmlns="http://schemas.openxmlformats.org/spreadsheetml/2006/main" count="8612" uniqueCount="1278">
  <si>
    <t> </t>
  </si>
  <si>
    <t>Department Name</t>
  </si>
  <si>
    <t>Staff Number</t>
  </si>
  <si>
    <t>E-mail</t>
  </si>
  <si>
    <t>First name</t>
  </si>
  <si>
    <t>Surname</t>
  </si>
  <si>
    <t>Init</t>
  </si>
  <si>
    <t>Title</t>
  </si>
  <si>
    <t>Post Name</t>
  </si>
  <si>
    <t>Gender</t>
  </si>
  <si>
    <t>Ethnic Group Name</t>
  </si>
  <si>
    <t>Permanent Or Temp</t>
  </si>
  <si>
    <t>CAMPUS NAME</t>
  </si>
  <si>
    <t>Service Record Ind Code</t>
  </si>
  <si>
    <t>Country</t>
  </si>
  <si>
    <t>Building Code</t>
  </si>
  <si>
    <t>BUILDING NAME</t>
  </si>
  <si>
    <t>Age</t>
  </si>
  <si>
    <t>Retirement
year</t>
  </si>
  <si>
    <t>Direct 
Senior 
Staff No</t>
  </si>
  <si>
    <t xml:space="preserve">Highest Qualification </t>
  </si>
  <si>
    <t>Year
obtained</t>
  </si>
  <si>
    <t xml:space="preserve"> Higher qualification
registered for</t>
  </si>
  <si>
    <t>Year of first
Registration</t>
  </si>
  <si>
    <t>Expected Completion</t>
  </si>
  <si>
    <t>Name of
Insitution</t>
  </si>
  <si>
    <t>Progress</t>
  </si>
  <si>
    <t>Meeting date</t>
  </si>
  <si>
    <t>Growth development plan meeting</t>
  </si>
  <si>
    <t>Support required</t>
  </si>
  <si>
    <t>Field of Specialisation</t>
  </si>
  <si>
    <t>Involvement in
trans-Disciplinary research</t>
  </si>
  <si>
    <t>Required 
Research
Units</t>
  </si>
  <si>
    <t>2022 
Research
output</t>
  </si>
  <si>
    <t>2023 
Research
output</t>
  </si>
  <si>
    <t>2024 Research Output</t>
  </si>
  <si>
    <t>2025 Research Output</t>
  </si>
  <si>
    <t>Research
Category</t>
  </si>
  <si>
    <t>Research Chair</t>
  </si>
  <si>
    <t>NRF Rating</t>
  </si>
  <si>
    <t>Year rating obtained</t>
  </si>
  <si>
    <t>Rating valid untill</t>
  </si>
  <si>
    <t>Next NRF rating application date</t>
  </si>
  <si>
    <t>G-Scholar citations</t>
  </si>
  <si>
    <t>Highest paper
citation 
2022</t>
  </si>
  <si>
    <t>Highest paper
citation 
2023</t>
  </si>
  <si>
    <t>G-scholar H-index Jul 2023</t>
  </si>
  <si>
    <t>G-scholar H-index Sept 2024</t>
  </si>
  <si>
    <t>G-scholar H-index Sept 2025</t>
  </si>
  <si>
    <t>ORCID number</t>
  </si>
  <si>
    <t>Masters Co-Supervision</t>
  </si>
  <si>
    <t>Doctoral Co-Supervision</t>
  </si>
  <si>
    <t>Principal Supervisor-Masters</t>
  </si>
  <si>
    <t>Principal Supervisor- Doctorate</t>
  </si>
  <si>
    <t>CIVIL ENGINEERING &amp; GEOMATICS</t>
  </si>
  <si>
    <t>nyokanaa@cput.ac.za</t>
  </si>
  <si>
    <t>ABONGILE AVIWE</t>
  </si>
  <si>
    <t>NYOKANA</t>
  </si>
  <si>
    <t>AA</t>
  </si>
  <si>
    <t>MS</t>
  </si>
  <si>
    <t>LECTURER</t>
  </si>
  <si>
    <t>F</t>
  </si>
  <si>
    <t>AFRICAN</t>
  </si>
  <si>
    <t>P</t>
  </si>
  <si>
    <t>DISTRICT SIX CAMPUS</t>
  </si>
  <si>
    <t>R.S.A.</t>
  </si>
  <si>
    <t>A</t>
  </si>
  <si>
    <t>KAMALIE</t>
  </si>
  <si>
    <t>MAGISTER SCIENTIAE</t>
  </si>
  <si>
    <t>ELECTR, ELECTRONIC &amp; COMP ENG</t>
  </si>
  <si>
    <t>wyngaarda@cput.ac.za</t>
  </si>
  <si>
    <t>ADRIAN LEIGH</t>
  </si>
  <si>
    <t>WYNGAARD</t>
  </si>
  <si>
    <t>AL</t>
  </si>
  <si>
    <t>MR</t>
  </si>
  <si>
    <t>ECP LECTURER</t>
  </si>
  <si>
    <t>M</t>
  </si>
  <si>
    <t>WHITE</t>
  </si>
  <si>
    <t>BELLVILLE CAMPUS (MAIN)</t>
  </si>
  <si>
    <t>ELECT. ENGINEERING LABS</t>
  </si>
  <si>
    <t>DR</t>
  </si>
  <si>
    <t>ML</t>
  </si>
  <si>
    <t>ADONIS</t>
  </si>
  <si>
    <t>MASTER OF ENGINEERING</t>
  </si>
  <si>
    <t>DOCTOR OF ENGINEERING ELECTRICAL ENGINEERING</t>
  </si>
  <si>
    <t>CPUT</t>
  </si>
  <si>
    <t>merua@cput.ac.za</t>
  </si>
  <si>
    <t>ALAN HENRY MICHENI</t>
  </si>
  <si>
    <t>MERU</t>
  </si>
  <si>
    <t>AHM</t>
  </si>
  <si>
    <t>KENYA</t>
  </si>
  <si>
    <t>ENGINEERING - ZONNEBLOEM</t>
  </si>
  <si>
    <t>MAGISTER TECHNOLOGIAE: ENG. ELECTRICAL</t>
  </si>
  <si>
    <t>DENG ELECTRICAL</t>
  </si>
  <si>
    <t>No Orchid number</t>
  </si>
  <si>
    <t>MECHANICAL AND MECHATRONIC ENG</t>
  </si>
  <si>
    <t>rugbania@cput.ac.za</t>
  </si>
  <si>
    <t>ALI MILUD</t>
  </si>
  <si>
    <t>RUGBANI</t>
  </si>
  <si>
    <t>AM</t>
  </si>
  <si>
    <t>SENIOR LECTURER WEF 1/1/2023</t>
  </si>
  <si>
    <t>COLOURED</t>
  </si>
  <si>
    <t>SENIOR LECTURER</t>
  </si>
  <si>
    <t>LIBYA</t>
  </si>
  <si>
    <t>NEW MECHANICAL ENG BUILDING</t>
  </si>
  <si>
    <t>APRF</t>
  </si>
  <si>
    <t>K</t>
  </si>
  <si>
    <t>NYEMBWE</t>
  </si>
  <si>
    <t>DOCTOR PHILOSOPHIAE</t>
  </si>
  <si>
    <t>almaktoofa@cput.ac.za</t>
  </si>
  <si>
    <t>ALI-MUSTAFA-ALI</t>
  </si>
  <si>
    <t>ALMAKTOOF</t>
  </si>
  <si>
    <t>CONTRACT WITH ALL BENEFITS</t>
  </si>
  <si>
    <t>DOCTOR TECHNOLOGIAE:ELECTRICAL ENG</t>
  </si>
  <si>
    <t>0000-0002-1134-5587</t>
  </si>
  <si>
    <t>CLOTHING &amp; TEXTILE TECHNOLOGY</t>
  </si>
  <si>
    <t>Bassonal@cput.ac.za</t>
  </si>
  <si>
    <t>ALLISTAIR JAMES DOUGLAS</t>
  </si>
  <si>
    <t>BASSON</t>
  </si>
  <si>
    <t>AJD</t>
  </si>
  <si>
    <t>T</t>
  </si>
  <si>
    <t>NEW CONTRACT</t>
  </si>
  <si>
    <t>R.S.A</t>
  </si>
  <si>
    <t>PATNAIK</t>
  </si>
  <si>
    <t>BETCH DEGREE IN CLOTHING MANAGEMENT</t>
  </si>
  <si>
    <t>CHEMICAL ENGINEERING</t>
  </si>
  <si>
    <t>adeniyia@cput.ac.za</t>
  </si>
  <si>
    <t>AMOS</t>
  </si>
  <si>
    <t>ADENIYI</t>
  </si>
  <si>
    <t>NIGERIA</t>
  </si>
  <si>
    <t>CHEMICAL ENGINEERING BLDG -BVL</t>
  </si>
  <si>
    <t>CHETTY</t>
  </si>
  <si>
    <t>DOCTOR TECHNOLOGIAE ENGINEERING: CHEMICA</t>
  </si>
  <si>
    <t>Not Applicable</t>
  </si>
  <si>
    <t>0000-0002-7186-9171</t>
  </si>
  <si>
    <t>CONSTR MAN &amp; QUANTITY SURVEY</t>
  </si>
  <si>
    <t>sadikian@cput.ac.za</t>
  </si>
  <si>
    <t>ANDANI AMANDALINE</t>
  </si>
  <si>
    <t xml:space="preserve">SADIKI </t>
  </si>
  <si>
    <t>LECTURER WEF 1/9/2025</t>
  </si>
  <si>
    <t>PERMANENT APPOINTMENT</t>
  </si>
  <si>
    <t>DE JAGER</t>
  </si>
  <si>
    <t>DOCTOR OF PHILOSOPHY</t>
  </si>
  <si>
    <t>sontshia@cput.ac.za</t>
  </si>
  <si>
    <t>ANELISA HARMONY</t>
  </si>
  <si>
    <t>SONTSHI</t>
  </si>
  <si>
    <t>AH</t>
  </si>
  <si>
    <t>MAGISTER TECHNOLOGIAE IN DESIGN</t>
  </si>
  <si>
    <t>DOCTOR OF APPLIED ARTS IN DESIGN</t>
  </si>
  <si>
    <t>aminou-moussavoua@cput.ac.za</t>
  </si>
  <si>
    <t>ANGES AKIM</t>
  </si>
  <si>
    <t>AMINOU MOUSSAVOU</t>
  </si>
  <si>
    <t>GABON</t>
  </si>
  <si>
    <t>ADMIN &amp; LIBRARY ZONNEBLOEM</t>
  </si>
  <si>
    <t>DOCTOR IN ENGINEERING</t>
  </si>
  <si>
    <t>brandta@cput.ac.za</t>
  </si>
  <si>
    <t>ANGUS DANIEL</t>
  </si>
  <si>
    <t>BRANDT</t>
  </si>
  <si>
    <t>AD</t>
  </si>
  <si>
    <t>PhD Electronic Engineering </t>
  </si>
  <si>
    <t>0000-0002-2994-203X</t>
  </si>
  <si>
    <t>mwebazea@cput.ac.za</t>
  </si>
  <si>
    <t>ANTHONY</t>
  </si>
  <si>
    <t>MWEBAZE</t>
  </si>
  <si>
    <t>CONTRACT RENEWED</t>
  </si>
  <si>
    <t>UGANDA</t>
  </si>
  <si>
    <t>MASTER OF SCIENCE DEGREE</t>
  </si>
  <si>
    <t>kamaliea@cput.ac.za</t>
  </si>
  <si>
    <t>ASHAADIA</t>
  </si>
  <si>
    <t>HEAD OF DEPARTMENT</t>
  </si>
  <si>
    <t>CIVIL AND SURVEY BUILDING</t>
  </si>
  <si>
    <t>S</t>
  </si>
  <si>
    <t>RAMSUROOP</t>
  </si>
  <si>
    <t>MASTER OF ENGINEERING: SANITARY ENG.</t>
  </si>
  <si>
    <t>DOCTOR OF ENGINEERING IN CIVIL ENGINEERING</t>
  </si>
  <si>
    <t>Deregistered</t>
  </si>
  <si>
    <t>BAAP application 2024 PhD track</t>
  </si>
  <si>
    <t>esaua@cput.ac.za</t>
  </si>
  <si>
    <t>ASHLEEN BENITA</t>
  </si>
  <si>
    <t>MARSHALL</t>
  </si>
  <si>
    <t>AB</t>
  </si>
  <si>
    <t>Dr</t>
  </si>
  <si>
    <t>DENG: CHEMICAL ENGINEERING</t>
  </si>
  <si>
    <t>Passed. Waiting for article to be accepted. Graduation expected 2024</t>
  </si>
  <si>
    <t xml:space="preserve">Finalised Chapter 3 and Chapter 4.  Handed in the 1st objective to the supervisor. Got feed back end of May which caused at set back. Chrisis mode in the departmen that took three weeks of the time also cause a set back.  Busy with the changes from the feedback, she ig going to combine chapter 4 and 5 into one big chapter. Was requested to take over the whole WIL component before ECSA comes. Will submitchapter 6 &amp;7 on 15 July. Finished corrections for journal publications and submitted on 26 May. Started a 2nd paper should be finalised by End July. Submitted an abstract for fonference. May need a few weeks off in August to complete. Still had a meeting planned with HoD to finalise the ECSA work to be done. </t>
  </si>
  <si>
    <t>Time off in August to complete submissions.</t>
  </si>
  <si>
    <t>0000-0003-4701-6029</t>
  </si>
  <si>
    <t>butlera@cput.ac.za</t>
  </si>
  <si>
    <t>ASHLEY MIRLNE</t>
  </si>
  <si>
    <t>LECTURER WEF 1/7/2024</t>
  </si>
  <si>
    <t>MRS</t>
  </si>
  <si>
    <t>TK</t>
  </si>
  <si>
    <t>STRINGER</t>
  </si>
  <si>
    <t>M.SC</t>
  </si>
  <si>
    <t>patnaiks@cput.ac.za</t>
  </si>
  <si>
    <t>ASIS</t>
  </si>
  <si>
    <t>ASSOCIATE PROFESSOR (WEF 1/3/2022)</t>
  </si>
  <si>
    <t>INDIAN</t>
  </si>
  <si>
    <t>INDIA</t>
  </si>
  <si>
    <t>DEECE - BLOCK A &amp; B</t>
  </si>
  <si>
    <t>C2</t>
  </si>
  <si>
    <t>0000-0001-7203-7185</t>
  </si>
  <si>
    <t>rajia@cput.ac.za</t>
  </si>
  <si>
    <t>ATANDA KAMORU</t>
  </si>
  <si>
    <t>RAJI</t>
  </si>
  <si>
    <t>AK</t>
  </si>
  <si>
    <t>ASSOCIATE PROFESSOR WEF 1/3/3022</t>
  </si>
  <si>
    <t>ASSOCIATE PROFESSOR</t>
  </si>
  <si>
    <t>Established</t>
  </si>
  <si>
    <t>0000-0002-7799-2314</t>
  </si>
  <si>
    <t>sogaxaa@cput.ac.za</t>
  </si>
  <si>
    <t>ATHENKOSI</t>
  </si>
  <si>
    <t>SOGAXA</t>
  </si>
  <si>
    <t>CONSTR MGT &amp; QUANT SURVEYING</t>
  </si>
  <si>
    <t>M. TECH CONSTRUCTION MANAGEMENT</t>
  </si>
  <si>
    <t>PhD CONSTRUCTION MANAGEMENT</t>
  </si>
  <si>
    <t>NMU</t>
  </si>
  <si>
    <t>MARITIME STUDIES</t>
  </si>
  <si>
    <t>sosiboa@cput.ac.za</t>
  </si>
  <si>
    <t>AUBREY NHLANHLA</t>
  </si>
  <si>
    <t>SOSIBO</t>
  </si>
  <si>
    <t>AN</t>
  </si>
  <si>
    <t>GRANGER BAY CAMPUS</t>
  </si>
  <si>
    <t>EE</t>
  </si>
  <si>
    <t>LAVITA</t>
  </si>
  <si>
    <t>MASTER OF LAWS</t>
  </si>
  <si>
    <t>MECHANICAL AND MECATRONICS ENGINEERING</t>
  </si>
  <si>
    <t>magudua@cput.ac.za</t>
  </si>
  <si>
    <t>AVIWE</t>
  </si>
  <si>
    <t>MAGUDU</t>
  </si>
  <si>
    <t>BACCALAUREUS ENGINEERING (MECHANICAL)</t>
  </si>
  <si>
    <t>MASTER OF ENGINEERING IN MECHANICAL ENGINEERING</t>
  </si>
  <si>
    <t>reinersa@cput.ac.za</t>
  </si>
  <si>
    <t>AYESHA</t>
  </si>
  <si>
    <t>REINERS</t>
  </si>
  <si>
    <t>COMMERCE - ZONNEBLOEM</t>
  </si>
  <si>
    <t>MAGISTER TECHNOLOGIAE : EDUCATION</t>
  </si>
  <si>
    <t>Doctor of Education (D.Ed)</t>
  </si>
  <si>
    <t>In progress</t>
  </si>
  <si>
    <t>periolaa@cput.ac.za</t>
  </si>
  <si>
    <t>AYODELE ABIOLA</t>
  </si>
  <si>
    <t>PERIOLA</t>
  </si>
  <si>
    <t>SENIOR LECTURER WEF 1/7/24</t>
  </si>
  <si>
    <t>0000-0002-1506-5347</t>
  </si>
  <si>
    <t>ayelesoa@cput.ac.za</t>
  </si>
  <si>
    <t>AYOKUNLE OLUWASEUN</t>
  </si>
  <si>
    <t>AYELESO</t>
  </si>
  <si>
    <t>AO</t>
  </si>
  <si>
    <t>0000-0002-8909-2831</t>
  </si>
  <si>
    <t>mabudaa@cput.ac.za</t>
  </si>
  <si>
    <t>AZWIHANGWISI IREN</t>
  </si>
  <si>
    <t>MABUDA</t>
  </si>
  <si>
    <t>AI</t>
  </si>
  <si>
    <t>LECTURER (ECP)</t>
  </si>
  <si>
    <t>dambab@cput.ac.za</t>
  </si>
  <si>
    <t>BABALWA</t>
  </si>
  <si>
    <t>DAMBA</t>
  </si>
  <si>
    <t>B</t>
  </si>
  <si>
    <t>JUNIOR LECTURER</t>
  </si>
  <si>
    <t>MASTER OF CONSTRUCTION</t>
  </si>
  <si>
    <t>INDUSTRIAL &amp; SYSTEMS ENG</t>
  </si>
  <si>
    <t>mdlolob@cput.ac.za</t>
  </si>
  <si>
    <t>BANTUBENZANI NELSON</t>
  </si>
  <si>
    <t>MDLOLO</t>
  </si>
  <si>
    <t>BN</t>
  </si>
  <si>
    <t xml:space="preserve">Mr </t>
  </si>
  <si>
    <t xml:space="preserve">B </t>
  </si>
  <si>
    <t>MORAR</t>
  </si>
  <si>
    <t>bellob@cput.ac.za</t>
  </si>
  <si>
    <t>BASIRAT OLAYEMI</t>
  </si>
  <si>
    <t>BELLO</t>
  </si>
  <si>
    <t>BO</t>
  </si>
  <si>
    <t>LECTURER (ECP): COMMUNICATIONS</t>
  </si>
  <si>
    <t>DOCTOR OF LITERATURE &amp; PHILOSOPHY</t>
  </si>
  <si>
    <t>Recognised</t>
  </si>
  <si>
    <t>Apply Dec 2023</t>
  </si>
  <si>
    <t>0000-0002-4605-4448</t>
  </si>
  <si>
    <t>kabambab@cput.ac.za</t>
  </si>
  <si>
    <t>BATTHE MATANDA</t>
  </si>
  <si>
    <t>KABAMBA</t>
  </si>
  <si>
    <t>BM</t>
  </si>
  <si>
    <t>DEMOCRATIC REP OF CONGO</t>
  </si>
  <si>
    <t>MASTERS DEGREE IN TECHNOLOGY</t>
  </si>
  <si>
    <t>morarb@cput.ac.za</t>
  </si>
  <si>
    <t>BHARET</t>
  </si>
  <si>
    <t>alabab@cput.ac.za</t>
  </si>
  <si>
    <t>BIMBE OMOLARA</t>
  </si>
  <si>
    <t>ALABI</t>
  </si>
  <si>
    <t>NEW CONTRACT (DEC)</t>
  </si>
  <si>
    <t>tshibangub@cput.ac.za</t>
  </si>
  <si>
    <t>BLAISE TSHIBANGU MULUMA</t>
  </si>
  <si>
    <t>TSHIBANGU</t>
  </si>
  <si>
    <t>BTM</t>
  </si>
  <si>
    <t>HOTEL SCHOOL - GRANGER BAY</t>
  </si>
  <si>
    <t>morrisb@cput.ac.za</t>
  </si>
  <si>
    <t>BLAISE WILLIAM</t>
  </si>
  <si>
    <t>MORRIS</t>
  </si>
  <si>
    <t>BW</t>
  </si>
  <si>
    <t>ECP JUNIOR LECTURER</t>
  </si>
  <si>
    <t>SURVIVAL CENTRE - GRANGER BAY</t>
  </si>
  <si>
    <t>NHD. MARITIME STUDIES</t>
  </si>
  <si>
    <t>ncubeb@cput.ac.za</t>
  </si>
  <si>
    <t>BONGANI</t>
  </si>
  <si>
    <t>NCUBE</t>
  </si>
  <si>
    <t>PROF</t>
  </si>
  <si>
    <t>NRF CHAIR: WATER GOVERNANCE</t>
  </si>
  <si>
    <t>C3</t>
  </si>
  <si>
    <t>0000-0003-1936-2768</t>
  </si>
  <si>
    <t>Kotzeeb@cput.ac.za</t>
  </si>
  <si>
    <t>BRENT</t>
  </si>
  <si>
    <t>KOTZEE</t>
  </si>
  <si>
    <t>_</t>
  </si>
  <si>
    <t>M.SC.ENG</t>
  </si>
  <si>
    <t>swartzb@cput.ac.za</t>
  </si>
  <si>
    <t>BRONWYN CLAUDIA</t>
  </si>
  <si>
    <t>SWARTZ</t>
  </si>
  <si>
    <t>BC</t>
  </si>
  <si>
    <t>SENIOR LECTURER WEF 1/3/2022</t>
  </si>
  <si>
    <t>APROF</t>
  </si>
  <si>
    <t>0000-0003-0752-7211</t>
  </si>
  <si>
    <t>godongwanab@cput.ac.za</t>
  </si>
  <si>
    <t>BUNTU</t>
  </si>
  <si>
    <t>GODONGWANA</t>
  </si>
  <si>
    <t>0000-0002-5921-0032</t>
  </si>
  <si>
    <t>JantjiesB@cput.ac.za</t>
  </si>
  <si>
    <t>BUSISWA TRACEY</t>
  </si>
  <si>
    <t>JANTJIES</t>
  </si>
  <si>
    <t>BT</t>
  </si>
  <si>
    <t>B.TECH MECHANICAL</t>
  </si>
  <si>
    <t>ntambantambab@cput.ac.za</t>
  </si>
  <si>
    <t>BUTTEUR MULUMBA</t>
  </si>
  <si>
    <t>NTAMBA NTAMBA</t>
  </si>
  <si>
    <t>LECTURER (PERM WEF:01/08/14)</t>
  </si>
  <si>
    <t>M. TECH  ENGINEERING: MECHANICAL</t>
  </si>
  <si>
    <t>DOCTORE OF ENGINEERING IN MECHANICAL ENGINEERING</t>
  </si>
  <si>
    <t xml:space="preserve">Not registered for 2023. Was demotivated but agreed to finish over the December holidays. </t>
  </si>
  <si>
    <t>0000-0002-8919-5347</t>
  </si>
  <si>
    <t>krigerc@cput.ac.za</t>
  </si>
  <si>
    <t>CARL</t>
  </si>
  <si>
    <t>KRIGER</t>
  </si>
  <si>
    <t>C</t>
  </si>
  <si>
    <t>0000-0002-1911-3924</t>
  </si>
  <si>
    <t>belfordc@cput.ac.za</t>
  </si>
  <si>
    <t>CHERYL COLLEEN</t>
  </si>
  <si>
    <t>BELFORD</t>
  </si>
  <si>
    <t>CC</t>
  </si>
  <si>
    <t>MASTER OF ENG: TRANSPORT STUDIES</t>
  </si>
  <si>
    <t>ekronc@cput.ac.za</t>
  </si>
  <si>
    <t>CHRISTELLE</t>
  </si>
  <si>
    <t>EKRON</t>
  </si>
  <si>
    <t>0000-0001-8992-6130</t>
  </si>
  <si>
    <t>magodac@cput.ac.za</t>
  </si>
  <si>
    <t>CLETUS MATTHEW</t>
  </si>
  <si>
    <t>MAGODA</t>
  </si>
  <si>
    <t>CM</t>
  </si>
  <si>
    <t>TANZANIA</t>
  </si>
  <si>
    <t>DOCTOR OF ENGINEERING IN MECHANICAL ENGINEERING</t>
  </si>
  <si>
    <t xml:space="preserve">Paper for new thesis published: 16 October 2024. 1st draft of new thesis to be submitted end December 2024. </t>
  </si>
  <si>
    <t>One of our staff members, Mr Cletus Magoda received a ‘fail’ from the arbiter response. You can just imagine how devastating this must be after 7 years of registration for him and his family.  I’ve had a meeting with the candidate today to find out how he is coping. It is important that we support him to finish this. From what I understand, there was very little support. He had purchased equipment and really tried to tackle a huge issue with very little resources. Normally a supervisor should ensure that equipment and facilities are available. The outcome is just not at the level required. He has never had any official study leave, several supervisors, etc. I remember asking his supervisor once about the intended output as I had some reservations, but I am no expert. 
My suggestion is that we support Mr Magoda to complete his DEng in the next 2 years ensuring that he has exposure to the right facilities and also co-supervisor who is an expert in the specific field.  I will assist with applying for internal funding for travel to state-of-the-art facilities (one is at VUT) and possibly the facility from the most critical examiner who is a leader in this field, possibly for IQP is there will be a call for next year.  Please consider how we can release him from lecturing load. In this way, we ensure that he can deliver. He will rewrite the proposal based on the gaps identified and revise the title accordingly. I’ve asked him to provide me with a research proposal and a plan so that we can plan. I would like for this to be considered when working out teaching loads for 2024.</t>
  </si>
  <si>
    <t>0000-0002-8223-8236</t>
  </si>
  <si>
    <t>nelc@cput.ac.za</t>
  </si>
  <si>
    <t>COENRAAD JOSEPHUS</t>
  </si>
  <si>
    <t>NEL</t>
  </si>
  <si>
    <t>CJ</t>
  </si>
  <si>
    <t>moodleyc@cput.ac.za</t>
  </si>
  <si>
    <t>COLLEEN GAIL</t>
  </si>
  <si>
    <t>MOODLEY</t>
  </si>
  <si>
    <t>CG</t>
  </si>
  <si>
    <t>BOTSWANA</t>
  </si>
  <si>
    <t>PHILOSOPHIAE DOCTOR</t>
  </si>
  <si>
    <t>mutsvangwac@cput.ac.za</t>
  </si>
  <si>
    <t>CRISPEN</t>
  </si>
  <si>
    <t>MUTSVANGWA</t>
  </si>
  <si>
    <t>ZIMBABWE</t>
  </si>
  <si>
    <t>M.SC: WATER RESOURCES MANAGEMENT</t>
  </si>
  <si>
    <t>0000-0002-2274-2537</t>
  </si>
  <si>
    <t>tshifularoc@cput.ac.za</t>
  </si>
  <si>
    <t>CYRUS ALUSHAVHIWI</t>
  </si>
  <si>
    <t>TSHIFULARO</t>
  </si>
  <si>
    <t>CA</t>
  </si>
  <si>
    <t>ART SCHOOL</t>
  </si>
  <si>
    <t>callaghand@cput.ac.za</t>
  </si>
  <si>
    <t>DAVID JAMES</t>
  </si>
  <si>
    <t>CALLAGHAN</t>
  </si>
  <si>
    <t>DJ</t>
  </si>
  <si>
    <t>B.TECH: ELECTRICAL</t>
  </si>
  <si>
    <t>tshobotlwaned@cput.ac.za</t>
  </si>
  <si>
    <t>DAVID MODISAOTSILE</t>
  </si>
  <si>
    <t>TSHOBOTLWANE</t>
  </si>
  <si>
    <t>DM</t>
  </si>
  <si>
    <t>dejagerd@cput.ac.za</t>
  </si>
  <si>
    <t>DEBBIE</t>
  </si>
  <si>
    <t>D</t>
  </si>
  <si>
    <t>SENIOR LECTURER (ECP)</t>
  </si>
  <si>
    <t>SCIENCES BUILDING</t>
  </si>
  <si>
    <t>DOCTORATE IN TECHNOLOGY</t>
  </si>
  <si>
    <t>0000-0001-8327-4995</t>
  </si>
  <si>
    <t>ebrahimd@cput.ac.za</t>
  </si>
  <si>
    <t>DEEN ISMAIL</t>
  </si>
  <si>
    <t>EBRAHIM</t>
  </si>
  <si>
    <t>DI</t>
  </si>
  <si>
    <t>MASTER INGENERIAE: MECHANICAL ENG</t>
  </si>
  <si>
    <t>windvogeld@cput.ac.za</t>
  </si>
  <si>
    <t>DEIDRE LUZINA</t>
  </si>
  <si>
    <t>WINDVOGEL</t>
  </si>
  <si>
    <t>DL</t>
  </si>
  <si>
    <t>adamsdq@cput.ac.za</t>
  </si>
  <si>
    <t>DENNIT QUEWAN</t>
  </si>
  <si>
    <t>ADAMS</t>
  </si>
  <si>
    <t>DQ</t>
  </si>
  <si>
    <t>MAGISTER ENGINEERING</t>
  </si>
  <si>
    <t>dlaminid@cput.ac.za</t>
  </si>
  <si>
    <t>DERRICK NJABULISO</t>
  </si>
  <si>
    <t>DLAMINI</t>
  </si>
  <si>
    <t>DN</t>
  </si>
  <si>
    <t>SECONDMENT</t>
  </si>
  <si>
    <t>L.L.M.</t>
  </si>
  <si>
    <t>PhD in Extraction Metallurgy ( mineral processing)</t>
  </si>
  <si>
    <t>UJ</t>
  </si>
  <si>
    <t>jafthad@cput.ac.za</t>
  </si>
  <si>
    <t>DESIREE VIRGINIA</t>
  </si>
  <si>
    <t>JAFTHA</t>
  </si>
  <si>
    <t>DV</t>
  </si>
  <si>
    <t>0000-0002-2152-4570</t>
  </si>
  <si>
    <t>HESSD@cput.ac.za</t>
  </si>
  <si>
    <t>DONELL RUTH</t>
  </si>
  <si>
    <t>HESS</t>
  </si>
  <si>
    <t>BOARD PROCESS - SEE FILE</t>
  </si>
  <si>
    <t>NAMIBIA</t>
  </si>
  <si>
    <t>HessD@cput.ac.za</t>
  </si>
  <si>
    <t>LECTURER:  ENG PROF PRACTICE</t>
  </si>
  <si>
    <t>lutad@cput.ac.za</t>
  </si>
  <si>
    <t>DOUDOU NANITAMO</t>
  </si>
  <si>
    <t>LUTA</t>
  </si>
  <si>
    <t>L</t>
  </si>
  <si>
    <t>NQABISA</t>
  </si>
  <si>
    <t>0000-0003-3370-1826</t>
  </si>
  <si>
    <t>chukwuchendoe@cput.ac.za</t>
  </si>
  <si>
    <t>EMMANUEL CHINONSO</t>
  </si>
  <si>
    <t>CHUKWUCHENDO</t>
  </si>
  <si>
    <t>EC</t>
  </si>
  <si>
    <t>CONRADE@cput.ac.za</t>
  </si>
  <si>
    <t>ESA</t>
  </si>
  <si>
    <t>CONRAD (JUNE)</t>
  </si>
  <si>
    <t>E</t>
  </si>
  <si>
    <t>CONTRACT RENEWED (JUNE)</t>
  </si>
  <si>
    <t>B.TECH: QUANTITY SURVEYING</t>
  </si>
  <si>
    <t>mukendiw@cput.ac.za</t>
  </si>
  <si>
    <t>ESAU TICHA</t>
  </si>
  <si>
    <t>MULUH</t>
  </si>
  <si>
    <t>ET</t>
  </si>
  <si>
    <t>CAMEROON</t>
  </si>
  <si>
    <t>februarye@cput.ac.za</t>
  </si>
  <si>
    <t>EUGENE JOHN</t>
  </si>
  <si>
    <t>FEBRUARY</t>
  </si>
  <si>
    <t>EJ</t>
  </si>
  <si>
    <t>erforteugene63@gmail.com</t>
  </si>
  <si>
    <t>EUGENE KEVIN</t>
  </si>
  <si>
    <t>ERFORT</t>
  </si>
  <si>
    <t>EK</t>
  </si>
  <si>
    <t>Mr</t>
  </si>
  <si>
    <t>B.TECH ENGINEERING</t>
  </si>
  <si>
    <t>manelif@cput.ac.za</t>
  </si>
  <si>
    <t>FELICIA NOXOLO</t>
  </si>
  <si>
    <t>MANELI</t>
  </si>
  <si>
    <t>FN</t>
  </si>
  <si>
    <t>POST GRADUATE DIPLOMA</t>
  </si>
  <si>
    <t>MASTER OF BUSINESS ADMINISTRATION</t>
  </si>
  <si>
    <t>harrisf@cput.ac.za</t>
  </si>
  <si>
    <t>FELICITY</t>
  </si>
  <si>
    <t>HARRIS</t>
  </si>
  <si>
    <t>MAGISTER TECHNOLOGIAE: QUALITY</t>
  </si>
  <si>
    <t>PhD in Engineering Education</t>
  </si>
  <si>
    <t>UCT</t>
  </si>
  <si>
    <t>2 Oct 2024. Findings completed, discussion chapter done within 2 weeks. 12 week writing for completion programme in week 2. meet supervisors every 2 weeks. First full draft to be completed 31 Dec 2024 to meet IQP 2022 requirements.</t>
  </si>
  <si>
    <t>0009-0003-4387-7208</t>
  </si>
  <si>
    <t>roseg@cput.ac.za</t>
  </si>
  <si>
    <t>GARRETT</t>
  </si>
  <si>
    <t>ROSE</t>
  </si>
  <si>
    <t>G</t>
  </si>
  <si>
    <t>MASTER OF ENGINEERING IN ELECTRICAL ENGINEERING</t>
  </si>
  <si>
    <t>Mr Garrett Rose obtained USDP scholarship in the amount of R500,000.00 for the duration of his PhD study. (UNIVERSITY STAFF DOCTORAL PROGRAMME  PHASE 5 COHORT 5.2) " 2024</t>
  </si>
  <si>
    <t>hartmang@cput.ac.za</t>
  </si>
  <si>
    <t>GERALDINE GUENE LINDOLE</t>
  </si>
  <si>
    <t>HARTMAN</t>
  </si>
  <si>
    <t>GGL</t>
  </si>
  <si>
    <t xml:space="preserve">ECP LECTURER </t>
  </si>
  <si>
    <t>MA (LINGUISTICS &amp; APPL LANG STUDIES)</t>
  </si>
  <si>
    <t xml:space="preserve">Phd </t>
  </si>
  <si>
    <t>lentoorg@cput.ac.za</t>
  </si>
  <si>
    <t>GERALDINE JOAN</t>
  </si>
  <si>
    <t>LENTOOR</t>
  </si>
  <si>
    <t>GJ</t>
  </si>
  <si>
    <t>ASDP JUNIOR LECTURER</t>
  </si>
  <si>
    <t>RSA</t>
  </si>
  <si>
    <t>-</t>
  </si>
  <si>
    <t>MAGISTER TECHNOLOGIAE: ENG. CHEMICAL</t>
  </si>
  <si>
    <t>DEng: Chemical Engineering</t>
  </si>
  <si>
    <t>not on HR List</t>
  </si>
  <si>
    <t>GILBERT MUBADI</t>
  </si>
  <si>
    <t>TSHITENGE</t>
  </si>
  <si>
    <t>GM</t>
  </si>
  <si>
    <t>AUDITORIUM</t>
  </si>
  <si>
    <t>BACCALAUREUS SCIENTIAE</t>
  </si>
  <si>
    <t>MASTER OF SCIENCE (APPLIED MATHEMATICS)</t>
  </si>
  <si>
    <t>kasongogo@cput.ac.za</t>
  </si>
  <si>
    <t>GODWILL WA KASONGO</t>
  </si>
  <si>
    <t>KASONGO</t>
  </si>
  <si>
    <t>GWK</t>
  </si>
  <si>
    <t>MGR 1</t>
  </si>
  <si>
    <t>oliverg@cput.ac.za</t>
  </si>
  <si>
    <t>GRAEME JOHN</t>
  </si>
  <si>
    <t>OLIVER</t>
  </si>
  <si>
    <t>PROFESSOR</t>
  </si>
  <si>
    <t>MECHANICAL ENGINEERING - INACT</t>
  </si>
  <si>
    <t>DOCTOR OF TECHNICAL SCIENCES</t>
  </si>
  <si>
    <t>0000-0003-1963-4882</t>
  </si>
  <si>
    <t>HangoneG@cput.ac.za</t>
  </si>
  <si>
    <t>GREGORY EDSEL</t>
  </si>
  <si>
    <t>HANGONE</t>
  </si>
  <si>
    <t>GE</t>
  </si>
  <si>
    <t>PROMOTED</t>
  </si>
  <si>
    <t>MSC. CHEMICAL ENGINEERING</t>
  </si>
  <si>
    <t>guptag@cput.ac.za</t>
  </si>
  <si>
    <t>GUNJAN</t>
  </si>
  <si>
    <t>GUPTA</t>
  </si>
  <si>
    <r>
      <t>SENIOR LECTURER</t>
    </r>
    <r>
      <rPr>
        <sz val="9"/>
        <color rgb="FFFF0000"/>
        <rFont val="Calibri"/>
        <family val="2"/>
        <scheme val="minor"/>
      </rPr>
      <t xml:space="preserve"> </t>
    </r>
  </si>
  <si>
    <t>mataifah@cput.ac.za</t>
  </si>
  <si>
    <t>HALTOR</t>
  </si>
  <si>
    <t>MATAIFA</t>
  </si>
  <si>
    <t>H</t>
  </si>
  <si>
    <t>ZAMBIA</t>
  </si>
  <si>
    <t>STUDENTS CENTRE</t>
  </si>
  <si>
    <t>0000-0002-6180-4120</t>
  </si>
  <si>
    <t>lubbeh@cput.ac.za</t>
  </si>
  <si>
    <t>HENDRIK  GIDEON</t>
  </si>
  <si>
    <t>LUBBE</t>
  </si>
  <si>
    <t>HG</t>
  </si>
  <si>
    <t>fidderh@cput.ac.za</t>
  </si>
  <si>
    <t>HERMAN</t>
  </si>
  <si>
    <t>FIDDER</t>
  </si>
  <si>
    <t>Not submitted</t>
  </si>
  <si>
    <t>fawkesh@cput.ac.za</t>
  </si>
  <si>
    <t>HOWARD TENNYSON</t>
  </si>
  <si>
    <t>FAWKES</t>
  </si>
  <si>
    <t>HT</t>
  </si>
  <si>
    <t>0000-0002-9083-840X</t>
  </si>
  <si>
    <t>ngoieilungaw@cput.ac.za</t>
  </si>
  <si>
    <t>ILUNGA WIGHENS</t>
  </si>
  <si>
    <t>NGOIE</t>
  </si>
  <si>
    <t>W</t>
  </si>
  <si>
    <t>REPLACEMENT FOR SECONDMEND</t>
  </si>
  <si>
    <t>nortoni@cput.ac.za</t>
  </si>
  <si>
    <t>INGRID</t>
  </si>
  <si>
    <t>NORTON</t>
  </si>
  <si>
    <t>I</t>
  </si>
  <si>
    <t>B.TECH BUSINESS ADMINISTRATION MANAGEMNT</t>
  </si>
  <si>
    <t>davidsoni@cput.ac.za</t>
  </si>
  <si>
    <t>INNOCENT EWEAN</t>
  </si>
  <si>
    <t>DAVIDSON</t>
  </si>
  <si>
    <t>IE</t>
  </si>
  <si>
    <t>DIRECTOR: F'SATI (WEF 1/5/2012)</t>
  </si>
  <si>
    <t>OTHER AFRICAN COUNTRIES</t>
  </si>
  <si>
    <t>“Remote sensing and machine learning methods for ocean plastic litter detection, monitoring, and  tracking</t>
  </si>
  <si>
    <t>NGOBENII@cput.ac.za</t>
  </si>
  <si>
    <t>ISHMAEL KURHULA</t>
  </si>
  <si>
    <t>NGOBENI</t>
  </si>
  <si>
    <t>IK</t>
  </si>
  <si>
    <t>JUNIOR LECTURER (ECP)</t>
  </si>
  <si>
    <t>B.ENG</t>
  </si>
  <si>
    <t>MCINGANII@cput.ac.za</t>
  </si>
  <si>
    <t>IVIWE</t>
  </si>
  <si>
    <t>MCINGANI</t>
  </si>
  <si>
    <t>MASTER OF SCIENCE (PHYSICS)</t>
  </si>
  <si>
    <t>wheelerj@cput.ac.za</t>
  </si>
  <si>
    <t>JACQUES</t>
  </si>
  <si>
    <t>WHEELER</t>
  </si>
  <si>
    <t>J</t>
  </si>
  <si>
    <t>erasmusj@cput.ac.za</t>
  </si>
  <si>
    <t>JAKOBUS</t>
  </si>
  <si>
    <t>ERASMUS</t>
  </si>
  <si>
    <t>NATIONAL HIGHER DIPLOMA</t>
  </si>
  <si>
    <t>immelmanj@cput.ac.za</t>
  </si>
  <si>
    <t>JANDRE</t>
  </si>
  <si>
    <t>IMMELMAN</t>
  </si>
  <si>
    <t>BEngTech(Hons): Civil Engineering</t>
  </si>
  <si>
    <t>MENG</t>
  </si>
  <si>
    <t>bradfieldj@cput.ac.za</t>
  </si>
  <si>
    <t>JARAD WADE</t>
  </si>
  <si>
    <t>BRADFIELD</t>
  </si>
  <si>
    <t>JW</t>
  </si>
  <si>
    <t>MAGISTER TECHNOLOGIAE ENG: MECHANICAL</t>
  </si>
  <si>
    <t>johnj@cput.ac.za</t>
  </si>
  <si>
    <t>JOE MAMMEN</t>
  </si>
  <si>
    <t>JOHN</t>
  </si>
  <si>
    <t>JM</t>
  </si>
  <si>
    <t>DOCTOR INGENERIAE</t>
  </si>
  <si>
    <t>0000-0002-5618-2021</t>
  </si>
  <si>
    <t>MUDUMBIJ@cput.ac.za</t>
  </si>
  <si>
    <t>JOHN BAPTIST NZUKISI</t>
  </si>
  <si>
    <t>MUDUMBI</t>
  </si>
  <si>
    <t>JBN</t>
  </si>
  <si>
    <t>smitj@cput.ac.za</t>
  </si>
  <si>
    <t>JULIAN LLOYD</t>
  </si>
  <si>
    <t>SMIT</t>
  </si>
  <si>
    <t>JL</t>
  </si>
  <si>
    <t>SENIOR LECTURER: WEF: 01/01/17</t>
  </si>
  <si>
    <t xml:space="preserve">zwaneoeli@cput.ac.za </t>
  </si>
  <si>
    <t>JUSTUS</t>
  </si>
  <si>
    <t>ZWANEPOEL</t>
  </si>
  <si>
    <t>N.D MECHANICAL ENGINEERING</t>
  </si>
  <si>
    <t>singhnundlalk@cput.ac.za</t>
  </si>
  <si>
    <t>KAJAL</t>
  </si>
  <si>
    <t>SINGH NUNDLAL</t>
  </si>
  <si>
    <t>snydersk@cput.ac.za</t>
  </si>
  <si>
    <t>KALVIN GEORGE</t>
  </si>
  <si>
    <t>SNYDERS</t>
  </si>
  <si>
    <t>KG</t>
  </si>
  <si>
    <t>nyembwek@cput.ac.za</t>
  </si>
  <si>
    <t>HoD: MECH &amp; MECHATRONIC ENG WEF 1/7/24</t>
  </si>
  <si>
    <t>DOCTOR TECHNOLOGIAE ENG: MECHANICAL</t>
  </si>
  <si>
    <t>MOKOMELEK@cput.ac.za</t>
  </si>
  <si>
    <t>KEAMOGETSE BRIDGET</t>
  </si>
  <si>
    <t>MOKOMELE</t>
  </si>
  <si>
    <t>KB</t>
  </si>
  <si>
    <t>BABALOLAK@cput.ac.za</t>
  </si>
  <si>
    <t>KEHINDE HASSAN</t>
  </si>
  <si>
    <t>BABALOLA</t>
  </si>
  <si>
    <t>KH</t>
  </si>
  <si>
    <t>Dxxx</t>
  </si>
  <si>
    <t>rauk@cput.ac.za</t>
  </si>
  <si>
    <t>KELLY LEE</t>
  </si>
  <si>
    <t>RAU</t>
  </si>
  <si>
    <t>KL</t>
  </si>
  <si>
    <t>MASTERS DIPLOMA IN TECHNOLOGY</t>
  </si>
  <si>
    <t>RodriguezK@cput.ac.za</t>
  </si>
  <si>
    <t>KENIA MARIA</t>
  </si>
  <si>
    <t>RODRIGUEZ-GARCIA</t>
  </si>
  <si>
    <t>KM</t>
  </si>
  <si>
    <t>CUBA</t>
  </si>
  <si>
    <t>BACCALAUREUS ENGINEERING (CIVIL)</t>
  </si>
  <si>
    <t>musunguk@cput.ac.za</t>
  </si>
  <si>
    <t>KEVIN</t>
  </si>
  <si>
    <t>MUSUNGU</t>
  </si>
  <si>
    <t>DOCTOR OF PHYLOSOPHY</t>
  </si>
  <si>
    <t>0000-0002-2881-8440</t>
  </si>
  <si>
    <t>MANANGABAYIMISSAK@cput.ac.za</t>
  </si>
  <si>
    <t>KHADER DESTAING</t>
  </si>
  <si>
    <t>MANANGA-BAYIMISSA</t>
  </si>
  <si>
    <t>KD</t>
  </si>
  <si>
    <t>jafferk@cput.ac.za</t>
  </si>
  <si>
    <t>KHAYZURAN</t>
  </si>
  <si>
    <t>JAFFER</t>
  </si>
  <si>
    <t>M.PHIL</t>
  </si>
  <si>
    <t>JoosteK@cput.ac.za</t>
  </si>
  <si>
    <t>KRITZMAN PHILLIP</t>
  </si>
  <si>
    <t>JOOSTE</t>
  </si>
  <si>
    <t>KP</t>
  </si>
  <si>
    <t>M.ENG</t>
  </si>
  <si>
    <t>DOCTOR OF ENGINEERING IN ELECTRICAL ENGINEERIN</t>
  </si>
  <si>
    <t>wentzell@cput.ac.za</t>
  </si>
  <si>
    <t>LANCE</t>
  </si>
  <si>
    <t>WENTZEL</t>
  </si>
  <si>
    <t>DEng (Civil)</t>
  </si>
  <si>
    <t>Preparing for NRF rating Y/C3 Apply Dec 2023</t>
  </si>
  <si>
    <t>Workload management</t>
  </si>
  <si>
    <t>0000-0002-4140-8921</t>
  </si>
  <si>
    <t>pinfoldl@cput.ac.za</t>
  </si>
  <si>
    <t>LAURA FAITH</t>
  </si>
  <si>
    <t>PINFOLD</t>
  </si>
  <si>
    <t>LF</t>
  </si>
  <si>
    <t>LECTURER (WEF: 01/03/16)</t>
  </si>
  <si>
    <t>Emerging - D in progress</t>
  </si>
  <si>
    <t>0000-0003-3237-3242</t>
  </si>
  <si>
    <t>sobheebeetull@cput.ac.za</t>
  </si>
  <si>
    <t>LAXMEE</t>
  </si>
  <si>
    <t>SOBHEE-BEETUL</t>
  </si>
  <si>
    <t>MAURITIUS</t>
  </si>
  <si>
    <t>madunal@cput.ac.za</t>
  </si>
  <si>
    <t>LEBO</t>
  </si>
  <si>
    <t>MADUNA</t>
  </si>
  <si>
    <t>sonnlm@cput.ac.za</t>
  </si>
  <si>
    <t>LEIGH MARCIA</t>
  </si>
  <si>
    <t>MIDDLETON</t>
  </si>
  <si>
    <t>LM</t>
  </si>
  <si>
    <t>abrahamsl@cput.ac.za</t>
  </si>
  <si>
    <t>LEON GARY</t>
  </si>
  <si>
    <t>ABRAHAMS</t>
  </si>
  <si>
    <t>LG</t>
  </si>
  <si>
    <t>MASTERS DIPLOMA TECHNOLOGY</t>
  </si>
  <si>
    <t>louwl@cput.ac.za</t>
  </si>
  <si>
    <t>LEONIE DESEREE</t>
  </si>
  <si>
    <t>LOUW</t>
  </si>
  <si>
    <t>LD</t>
  </si>
  <si>
    <t>NATIONAL DIPLOMA</t>
  </si>
  <si>
    <t>khetlal@cput.ac.za</t>
  </si>
  <si>
    <t>LESARI CLEMENT</t>
  </si>
  <si>
    <t>KHETLA</t>
  </si>
  <si>
    <t>LC</t>
  </si>
  <si>
    <t>MOFOKENGL@cput.ac.za</t>
  </si>
  <si>
    <t>LETSIE</t>
  </si>
  <si>
    <t>MOFOKENG</t>
  </si>
  <si>
    <t>HONNOURS BACCALAUREUS IN ENGINEERING</t>
  </si>
  <si>
    <t>boshoffl@cput.ac.za</t>
  </si>
  <si>
    <t>LIEZLE</t>
  </si>
  <si>
    <t>BOSHOFF</t>
  </si>
  <si>
    <t>B.SC (HONS)</t>
  </si>
  <si>
    <t>PHD IN ENGINEERING EDUCATION</t>
  </si>
  <si>
    <t>Meeting 19 Sept 2024 Rewritten introduction. Literature review accepted. Finalising Discussion &amp; Conclusion. Struggling with language. Attended conference in Sweden and SASEE 2023 in South Africa which is accredited output.Must submit by December 2024 to meet IQP requirements. Very stubborn and non-committed since return from IQP2022.</t>
  </si>
  <si>
    <t>0000-0003-3037-5789</t>
  </si>
  <si>
    <t>ganduril@cput.ac.za</t>
  </si>
  <si>
    <t>LILIAN</t>
  </si>
  <si>
    <t>GANDURI</t>
  </si>
  <si>
    <t>LECTURER: INDUSTRIAL ENG</t>
  </si>
  <si>
    <t>HEALTH &amp; WELLNESS SCI.BUILDING</t>
  </si>
  <si>
    <t>PhD Engineering Education</t>
  </si>
  <si>
    <t>0000-0002-9868-8127</t>
  </si>
  <si>
    <t>valentinel@cput.ac.za</t>
  </si>
  <si>
    <t>LUCRECIA ZINOBIA</t>
  </si>
  <si>
    <t>VALENTINE</t>
  </si>
  <si>
    <t>LZ</t>
  </si>
  <si>
    <t>0000-0001-7261-1837</t>
  </si>
  <si>
    <t>nyangal@cput.ac.za</t>
  </si>
  <si>
    <t>LUNGILE</t>
  </si>
  <si>
    <t>NYANGA</t>
  </si>
  <si>
    <t>BikitshaL@cput.ac.za</t>
  </si>
  <si>
    <t>LUVIWE STEVE</t>
  </si>
  <si>
    <t>BIKITSHA</t>
  </si>
  <si>
    <t>LS</t>
  </si>
  <si>
    <t xml:space="preserve">Emerging </t>
  </si>
  <si>
    <t>meyersl@cput.ac.za</t>
  </si>
  <si>
    <t>LUYANDA MILARD</t>
  </si>
  <si>
    <t>MEYERS</t>
  </si>
  <si>
    <t>PhD</t>
  </si>
  <si>
    <t>monzambem@cput.ac.za</t>
  </si>
  <si>
    <t>MAGBITI GIOVANI</t>
  </si>
  <si>
    <t>MONZAMBE</t>
  </si>
  <si>
    <t>MG</t>
  </si>
  <si>
    <t>M.ENG INDUSTRIAL</t>
  </si>
  <si>
    <t>PHD: INDUSTRIAL ENGINEERING</t>
  </si>
  <si>
    <t>SU</t>
  </si>
  <si>
    <t>Thesis Progress:
Research Proposal completed
Literature review Chapter 2: Completed
Reseach Methodology (Chapter3): Completed
System Architecture Development (Chapter 4): Completed
Simulation model develpment (Chapter 5) completed
Busy with Mathematical optimization model development (Chapter 6): Anticipated completion date 30/03/2025
Documentation Finalisation  anticipated completion date: 30/11/2025</t>
  </si>
  <si>
    <t>palmerm@cput.ac.za</t>
  </si>
  <si>
    <t>MAGHMOOD</t>
  </si>
  <si>
    <t>PALMER</t>
  </si>
  <si>
    <t>MASTER OF ENGINEERING CHEMICAL ENGINEERING</t>
  </si>
  <si>
    <t>DOCTOR OF ENGINEERING CHEMICAL ENGINEERING</t>
  </si>
  <si>
    <t>chowdhurym@cput.ac.za</t>
  </si>
  <si>
    <t>MAHABUBUR RAHMAN</t>
  </si>
  <si>
    <t>CHOWDHURY</t>
  </si>
  <si>
    <t>ASSOCIATE PROFESSOR WEF 1/3/2022</t>
  </si>
  <si>
    <t>BANGLADESH</t>
  </si>
  <si>
    <t>Y2</t>
  </si>
  <si>
    <t>0000-0002-5299-9966</t>
  </si>
  <si>
    <t>mphahlelema@cput.ac.za</t>
  </si>
  <si>
    <t>MAHLATSE RAMAESELE</t>
  </si>
  <si>
    <t>MPHAHLELE</t>
  </si>
  <si>
    <t>NkohlaM@cput.ac.za</t>
  </si>
  <si>
    <t>MAKIWE ANNETTE</t>
  </si>
  <si>
    <t>NKOHLA</t>
  </si>
  <si>
    <t>MA</t>
  </si>
  <si>
    <t>DOCTOR OF ENGINEERING IN CHEMICAL ENGINEERING</t>
  </si>
  <si>
    <t xml:space="preserve">Paper published 2023. Final thesis expected 15 December 2024. </t>
  </si>
  <si>
    <t>21/06/23</t>
  </si>
  <si>
    <t>Have not been working on research because of workload and health reasons. but has given an honours student a literiture review to write. July to Sept work on refining the chapter 2. Lecturing one subject in the next semester 1 hour weekly but there is lot of marking involved.  There will be progress in the lab  next semester. the experiments and chapter 2 will be done at the end of the year. Have 1 day in the lab</t>
  </si>
  <si>
    <t xml:space="preserve">Requires 1 day to spend in the lab/on finalising thesis. Get some people to help in the lab from DEECE based on Prof Fester's advise. </t>
  </si>
  <si>
    <t>0000-0002-2368-0905</t>
  </si>
  <si>
    <t>harrism@cput.ac.za</t>
  </si>
  <si>
    <t>MALEECKA</t>
  </si>
  <si>
    <t>PhD: Education</t>
  </si>
  <si>
    <t>UWC</t>
  </si>
  <si>
    <t>matomelam@cput.ac.za</t>
  </si>
  <si>
    <t>MALIBONGWE SHADRACK</t>
  </si>
  <si>
    <t>MATOMELA</t>
  </si>
  <si>
    <t>chettym@cput.ac.za</t>
  </si>
  <si>
    <t>MANIMAGALAY</t>
  </si>
  <si>
    <t>ASSOCIATE PROFESSOR/HEAD OF DEPT</t>
  </si>
  <si>
    <t>ASSOCIATE-DIRECTOR</t>
  </si>
  <si>
    <t>lokem@cput.ac.za</t>
  </si>
  <si>
    <t>MAPHOLE EMELLY</t>
  </si>
  <si>
    <t>LOKE</t>
  </si>
  <si>
    <t>ME</t>
  </si>
  <si>
    <t>CO-OP CO-ORDINATOR</t>
  </si>
  <si>
    <t>DEng: Civil Engineering</t>
  </si>
  <si>
    <t>adonisma@cput.ac.za</t>
  </si>
  <si>
    <t>MARCO LEROY</t>
  </si>
  <si>
    <t>Renewable energy technology applications
Microgrids
Smart grids
Distributed generation</t>
  </si>
  <si>
    <t>0000-0002-3311-2784</t>
  </si>
  <si>
    <t>ludickm@cput.ac.za</t>
  </si>
  <si>
    <t>MARK HARRY</t>
  </si>
  <si>
    <t>LUDICK</t>
  </si>
  <si>
    <t>MH</t>
  </si>
  <si>
    <t>ambem@cput.ac.za</t>
  </si>
  <si>
    <t xml:space="preserve">MARTINA </t>
  </si>
  <si>
    <t>AMBE</t>
  </si>
  <si>
    <t>MASTER OF EDUCATION</t>
  </si>
  <si>
    <t>PhD in Language &amp; Literacy Education</t>
  </si>
  <si>
    <t>SCHOUWM@cput.ac.za</t>
  </si>
  <si>
    <t>MATTHEW WILLIAM</t>
  </si>
  <si>
    <t>SCHOUW</t>
  </si>
  <si>
    <t>MW</t>
  </si>
  <si>
    <t>habetsm@cput.ac.za</t>
  </si>
  <si>
    <t>MAURICE</t>
  </si>
  <si>
    <t>HABETS</t>
  </si>
  <si>
    <t>ABC (CIVIL ENG) - INACTIVE</t>
  </si>
  <si>
    <t>mathenjwam@cput.ac.za</t>
  </si>
  <si>
    <t>MCEBO</t>
  </si>
  <si>
    <t>MATHENJWA</t>
  </si>
  <si>
    <t>PhD  IN HOUSING STUDIES</t>
  </si>
  <si>
    <t>UKZN</t>
  </si>
  <si>
    <t>khumalomd@cput.ac.za</t>
  </si>
  <si>
    <t>MDUDUZI BLESSING</t>
  </si>
  <si>
    <t>KHUMALO</t>
  </si>
  <si>
    <t>MB</t>
  </si>
  <si>
    <t>nGAP LECTURER</t>
  </si>
  <si>
    <t>patelm@cput.ac.za</t>
  </si>
  <si>
    <t>MEENA</t>
  </si>
  <si>
    <t>PATEL</t>
  </si>
  <si>
    <t>petersenmi@cput.ac.za</t>
  </si>
  <si>
    <t>MICHAEL EUGENE</t>
  </si>
  <si>
    <t>PETERSEN</t>
  </si>
  <si>
    <t>MASTER OF ENGINEERING(MeNG)</t>
  </si>
  <si>
    <t>DOCTOR OF ENGINEERING(DEng)</t>
  </si>
  <si>
    <t>0000-0002-0427-5461</t>
  </si>
  <si>
    <t>mngunim@cput.ac.za</t>
  </si>
  <si>
    <t>MKHULULI ELVIS SIYANDA</t>
  </si>
  <si>
    <t>MNGUNI</t>
  </si>
  <si>
    <t>MES</t>
  </si>
  <si>
    <t>mditshwam@cput.ac.za</t>
  </si>
  <si>
    <t>MKHUTAZI</t>
  </si>
  <si>
    <t>MDITSHWA</t>
  </si>
  <si>
    <t>PhD ELECTRICAL ENGINEERING</t>
  </si>
  <si>
    <t>0000-0003-3792-0911</t>
  </si>
  <si>
    <t>gxamzam@cput.ac.za</t>
  </si>
  <si>
    <t>MLONDOLOZI WILLIAM</t>
  </si>
  <si>
    <t>GXAMZA</t>
  </si>
  <si>
    <t>BTECH: ENGINEERING : INDUSTRIAL</t>
  </si>
  <si>
    <t>ArmienM@cput.ac.za</t>
  </si>
  <si>
    <t>MOGAMAT NOOR</t>
  </si>
  <si>
    <t>ARMIEN</t>
  </si>
  <si>
    <t>MN</t>
  </si>
  <si>
    <t>MOVEMENT CHANGES</t>
  </si>
  <si>
    <t>MAGISTER EDUCATIONIS</t>
  </si>
  <si>
    <t>MOTSAATHEBEM@cput.ac.za</t>
  </si>
  <si>
    <t>MOGOMOTSI DAPHNEY</t>
  </si>
  <si>
    <t>MOTSAATHEBE</t>
  </si>
  <si>
    <t>MD</t>
  </si>
  <si>
    <t>khant@cput.ac.za</t>
  </si>
  <si>
    <t>MOHAMED TARIQ</t>
  </si>
  <si>
    <t>KAHN</t>
  </si>
  <si>
    <t>MT</t>
  </si>
  <si>
    <t>RESEACH CHAIR</t>
  </si>
  <si>
    <t>0000-0002-3999-6322</t>
  </si>
  <si>
    <t>pourbehim@cput.ac.za</t>
  </si>
  <si>
    <t>MOHAMMED SADEGH</t>
  </si>
  <si>
    <t>POURBEHI</t>
  </si>
  <si>
    <t>IRAN</t>
  </si>
  <si>
    <t>0000-0002-6775-2472</t>
  </si>
  <si>
    <t>rahmanm@cput.ac.za</t>
  </si>
  <si>
    <t>MOHAMMED SHIFUR</t>
  </si>
  <si>
    <t>RAHMAN</t>
  </si>
  <si>
    <t>ebrahimm@cput.ac.za</t>
  </si>
  <si>
    <t>MOHAMMED YAGOUB  IBRAHIM</t>
  </si>
  <si>
    <t>ESMAIL</t>
  </si>
  <si>
    <t>MYI</t>
  </si>
  <si>
    <t>SUDAN</t>
  </si>
  <si>
    <t>Completed</t>
  </si>
  <si>
    <t>Khahledim@cput.ac.za</t>
  </si>
  <si>
    <t>MORAKANE CHARLOTTE</t>
  </si>
  <si>
    <t>KHAHLEDI</t>
  </si>
  <si>
    <t>MC</t>
  </si>
  <si>
    <t>riddlesm@cput.ac.za</t>
  </si>
  <si>
    <t>MORNAY NICOLE</t>
  </si>
  <si>
    <t>RIDDLES</t>
  </si>
  <si>
    <t>ADONISMT@cput.ac.za</t>
  </si>
  <si>
    <t>MTHOMASEBE</t>
  </si>
  <si>
    <t>SCIENCE - ZONNEBLOEM</t>
  </si>
  <si>
    <t>ENGINEERING: ADMIN</t>
  </si>
  <si>
    <t>azizm@cput.ac.za</t>
  </si>
  <si>
    <t>MUJAHID</t>
  </si>
  <si>
    <t>AZIZ</t>
  </si>
  <si>
    <t xml:space="preserve">ASSISTANT DEAN: LEARNING &amp; TEACHING </t>
  </si>
  <si>
    <t>0000-0002-2805-7135</t>
  </si>
  <si>
    <t>mukovher@yahoo.com</t>
  </si>
  <si>
    <t>MUKOVHE</t>
  </si>
  <si>
    <t>RATSHITANGA</t>
  </si>
  <si>
    <t>Mr Ratshitanga reported that when he completed in 2018 December, he proposed to do research on power system(restructured power system), did a presentation with the supervisor with reps from ERASMUS Germany. The proffessors said he might need to use a different institution for his topic. He spoke to Prof Burger from Stellenbosh that didn't succeed. This year 2023 he made a proposal with Prof Komla Folly at  UCT  Electrical department and the proposal was accepeted.  Prof Fester suggested that he contacts people from Riga Technical University that He could collaborate with. They have Faculty of Engineering Economics and Management and find out whether they offer the course at doctoral level.
He reported that he missed application for NRF because the application for his doctoral studies took long . He is registered with ECSA. She requested him to be one of the staff members (candidates) that would travel with her to the  University for 5 days.  Prof suggested that  the IQP applicatin should be ready.</t>
  </si>
  <si>
    <t>0000-0002-3930-8614</t>
  </si>
  <si>
    <t>ngqongisam@cput.ac.za</t>
  </si>
  <si>
    <t>MUSAWENKOSI</t>
  </si>
  <si>
    <t>NGQONGISA</t>
  </si>
  <si>
    <t>LECTURER WEF 1/10/21</t>
  </si>
  <si>
    <t>kepem@cput.ac.za</t>
  </si>
  <si>
    <t>MZUKISI HOWARD</t>
  </si>
  <si>
    <t>KEPE</t>
  </si>
  <si>
    <t>LECTURER: COMMUNICATIONS</t>
  </si>
  <si>
    <t>DOCTOR EDUCATIONIS</t>
  </si>
  <si>
    <t>0000-0002-4148-4385</t>
  </si>
  <si>
    <t>mohamedn@cput.ac.za</t>
  </si>
  <si>
    <t>NAASIRAH</t>
  </si>
  <si>
    <t>MOHAMED</t>
  </si>
  <si>
    <t>N</t>
  </si>
  <si>
    <t>DOCTOR OF PHILOSOPHY IN EDUCATION</t>
  </si>
  <si>
    <t>0000-0003-0058-3034</t>
  </si>
  <si>
    <t>bashingin@cput.ac.za</t>
  </si>
  <si>
    <t>NDAKHONA</t>
  </si>
  <si>
    <t>BASHINGI</t>
  </si>
  <si>
    <t>madondon@cput.ac.za</t>
  </si>
  <si>
    <t>NHLANGANISO IVAN</t>
  </si>
  <si>
    <t>MADONDO</t>
  </si>
  <si>
    <t>NI</t>
  </si>
  <si>
    <t>LECTURER EFF 1/10/23-31/12/23</t>
  </si>
  <si>
    <t>DOCTOR OF ENGINEERING (Deng)</t>
  </si>
  <si>
    <t>drotskien@cput.ac.za</t>
  </si>
  <si>
    <t>NINA</t>
  </si>
  <si>
    <t>DROTSKIE</t>
  </si>
  <si>
    <t>B.TECH CLOTHING MANAGEMENT</t>
  </si>
  <si>
    <t>dlangamandlan@cput.ac.za</t>
  </si>
  <si>
    <t>NKOSIKHO</t>
  </si>
  <si>
    <t>DLANGAMANDLA</t>
  </si>
  <si>
    <t>tshemesen@cput.ac.za</t>
  </si>
  <si>
    <t>NOMZAMO</t>
  </si>
  <si>
    <t>TSHEMESE-MVANDABA</t>
  </si>
  <si>
    <t>BAAP 2024 Post PhD</t>
  </si>
  <si>
    <t>0000-0002-4459-2568</t>
  </si>
  <si>
    <t>gulen@cput.ac.za</t>
  </si>
  <si>
    <t>NONJABULO PRUDENCE</t>
  </si>
  <si>
    <t>GULE</t>
  </si>
  <si>
    <t>NP</t>
  </si>
  <si>
    <t>tshilumbun@cput.ac.za</t>
  </si>
  <si>
    <t>NSENDA NGENDA</t>
  </si>
  <si>
    <t>TSHILUMBU</t>
  </si>
  <si>
    <t>NN</t>
  </si>
  <si>
    <t>RESEARCHER</t>
  </si>
  <si>
    <t>DOCTOR THEOLOGIAE</t>
  </si>
  <si>
    <t>tshinavhen@cput.ac.za</t>
  </si>
  <si>
    <t>NTANGANEDZENI</t>
  </si>
  <si>
    <t>TSHINAVHE</t>
  </si>
  <si>
    <t xml:space="preserve">MASTER OF ENGINEERING IN ELECTRICAL ENGINEERING </t>
  </si>
  <si>
    <t>duben@cput.ac.za</t>
  </si>
  <si>
    <t>NTUTHUKO MARCUS</t>
  </si>
  <si>
    <t>DUBE</t>
  </si>
  <si>
    <t>NM</t>
  </si>
  <si>
    <t>fatobao@cput.ac.za</t>
  </si>
  <si>
    <t>OJO OLANREWAJU</t>
  </si>
  <si>
    <t>FATOBA</t>
  </si>
  <si>
    <t>OO</t>
  </si>
  <si>
    <t>SANDENBURGH RES - ZONNEBLOEM</t>
  </si>
  <si>
    <t>ayodeleo@cput.ac.za</t>
  </si>
  <si>
    <t>OLUKAYODE LAWRENCE</t>
  </si>
  <si>
    <t>AYODELE</t>
  </si>
  <si>
    <t>OL</t>
  </si>
  <si>
    <t>LECTURER: MECHATRONICS</t>
  </si>
  <si>
    <t>philandero@cput.ac.za</t>
  </si>
  <si>
    <t>OSCAR</t>
  </si>
  <si>
    <t>PHILANDER</t>
  </si>
  <si>
    <t>O</t>
  </si>
  <si>
    <t>Ph.D MECHANICAL ENGINEERING</t>
  </si>
  <si>
    <t>0000-0002-6702-6913</t>
  </si>
  <si>
    <t>lokailweo@cput.ac.za</t>
  </si>
  <si>
    <t>OTHUSITSE GIDEON</t>
  </si>
  <si>
    <t>LOKAILWE</t>
  </si>
  <si>
    <t>OG</t>
  </si>
  <si>
    <t>nemraouio@cput.ac.za</t>
  </si>
  <si>
    <t>OUASSINI</t>
  </si>
  <si>
    <t>NEMRAOUI</t>
  </si>
  <si>
    <t>ALGERIA</t>
  </si>
  <si>
    <t>D.PHIL.ENG</t>
  </si>
  <si>
    <t>0000-0002-0450-8958</t>
  </si>
  <si>
    <t>kumarp@cput.ac.za</t>
  </si>
  <si>
    <t>PALLAV</t>
  </si>
  <si>
    <t>KUMAR</t>
  </si>
  <si>
    <t>0000-0003-0516-2415</t>
  </si>
  <si>
    <t>NYAMUKAMBAP@cput.ac.za</t>
  </si>
  <si>
    <t>PARDON</t>
  </si>
  <si>
    <t>NYAMUKAMBA</t>
  </si>
  <si>
    <t>ISAACS</t>
  </si>
  <si>
    <t>duncanp@cput.ac.za</t>
  </si>
  <si>
    <t>PATRICIA</t>
  </si>
  <si>
    <t>DUNCAN</t>
  </si>
  <si>
    <t>PhD (Conservation Ecology)</t>
  </si>
  <si>
    <t>Meeting 19 Sept 2023 Oral defence successful. Final Submissions. Graduation 12 December 2024. Successful IQP received 2023.</t>
  </si>
  <si>
    <t>0000-0001-7119-1957</t>
  </si>
  <si>
    <t>bukenyap@cput.ac.za</t>
  </si>
  <si>
    <t>PATRICK</t>
  </si>
  <si>
    <t>BUKENYA</t>
  </si>
  <si>
    <t>LECTURER (22/03/17)</t>
  </si>
  <si>
    <t>0000-0003-4419-2342</t>
  </si>
  <si>
    <t>SendaP@cput.ac.za</t>
  </si>
  <si>
    <t>PAUL TUDIEJI</t>
  </si>
  <si>
    <t>SENDA</t>
  </si>
  <si>
    <t>PT</t>
  </si>
  <si>
    <t>LECTURER(ECP) WEF:01/04/17</t>
  </si>
  <si>
    <t>sikhosanap@cput.ac.za</t>
  </si>
  <si>
    <t>PHINDOKUHLE</t>
  </si>
  <si>
    <t>SIKHOSANA</t>
  </si>
  <si>
    <t>PhD LIBRARY AND INFORMATION SCIENCE</t>
  </si>
  <si>
    <t>UFS</t>
  </si>
  <si>
    <t>SiebritzP@cput.ac.za</t>
  </si>
  <si>
    <t>PHOUZAAN PAUL</t>
  </si>
  <si>
    <t>SIEBRITZ</t>
  </si>
  <si>
    <t>PP</t>
  </si>
  <si>
    <t>NHD. CIVIL ENGINEERING</t>
  </si>
  <si>
    <t>williamsp@cput.ac.za</t>
  </si>
  <si>
    <t>PRINCE</t>
  </si>
  <si>
    <t>WILLIAMS</t>
  </si>
  <si>
    <t>MASTER OF SCIENCE IN MARITIME AFFAIRS</t>
  </si>
  <si>
    <t>bartq@cput.ac.za</t>
  </si>
  <si>
    <t>QUINTON JEROME</t>
  </si>
  <si>
    <t>BART</t>
  </si>
  <si>
    <t>QJ</t>
  </si>
  <si>
    <t>VANDERVENTERR@cput.ac.za</t>
  </si>
  <si>
    <t>ROBYN ALYCIA</t>
  </si>
  <si>
    <t>VAN DER VENTER</t>
  </si>
  <si>
    <t>RA</t>
  </si>
  <si>
    <t>B.TECH FASHION</t>
  </si>
  <si>
    <t>mambwer@cput.ac.za</t>
  </si>
  <si>
    <t>RONALD MANGULE</t>
  </si>
  <si>
    <t>MAMBWE</t>
  </si>
  <si>
    <t>RM</t>
  </si>
  <si>
    <t>MASTER OF ENGINEERING (ENVIRONMENTAL)</t>
  </si>
  <si>
    <t>pentzr@cput.ac.za</t>
  </si>
  <si>
    <t>RORY ADRIAAN</t>
  </si>
  <si>
    <t>PENTZ</t>
  </si>
  <si>
    <t xml:space="preserve">DOCTOR OF ENGINEERING IN ELECTRICAL </t>
  </si>
  <si>
    <t xml:space="preserve">Meeting 19 September 2024 External cavity laser working in Sept. Collaborated with Wits to learn how to characterise system. Drafted journal article for submission December 2024. Assist with the development of external cavity laser diode. Develop single photodetector. Can measure 4 photons. Requires validation for the paper. QKD as teacher tool. Photo detectors for commercialisation. 3 -4 weeks to get entangled photons. Possible output for Creative Output. SQUTI funded project to establish Quantum Community. </t>
  </si>
  <si>
    <t>0000-0001-9000-8556</t>
  </si>
  <si>
    <t>zieglerr@cput.ac.za</t>
  </si>
  <si>
    <t>ROSETTA AMELIA</t>
  </si>
  <si>
    <t>ZIEGLER</t>
  </si>
  <si>
    <t>0000-0003-3631-8099</t>
  </si>
  <si>
    <t>RUSHDEEN</t>
  </si>
  <si>
    <t>R</t>
  </si>
  <si>
    <t>PROJECT COORDINATOR</t>
  </si>
  <si>
    <t>p</t>
  </si>
  <si>
    <t>ntulisa@cput.ac.za</t>
  </si>
  <si>
    <t>SAMKELISIWE CECILIA</t>
  </si>
  <si>
    <t>NTULI</t>
  </si>
  <si>
    <t>SC</t>
  </si>
  <si>
    <t>MASTERS : LLM SHIPPING LAW</t>
  </si>
  <si>
    <t>spambos@cput.ac.za</t>
  </si>
  <si>
    <t>SAMKELO</t>
  </si>
  <si>
    <t>SPAMBO</t>
  </si>
  <si>
    <t>PHD MECHANICAL ENGINEERING</t>
  </si>
  <si>
    <t>• Currently, I am working on chapter one and two. This is helping me solidify the identified gap.
• In conjunction with that process, machine learning techniques are being explored in modelling and exploring nonlinearities inherent to thermoacoustic systems.
• Gain insight into how machine learning can be used to address these nonlinearities.</t>
  </si>
  <si>
    <t>LUMINAS@cput.ac.za</t>
  </si>
  <si>
    <t>SAMPI DENIS</t>
  </si>
  <si>
    <t>LUMINA</t>
  </si>
  <si>
    <t>SD</t>
  </si>
  <si>
    <t>ntanjanas@cput.ac.za</t>
  </si>
  <si>
    <t>SAPHO</t>
  </si>
  <si>
    <t>NTANJANA</t>
  </si>
  <si>
    <t> No Orchid number</t>
  </si>
  <si>
    <t>makhomos@cput.ac.za</t>
  </si>
  <si>
    <t>SELBOURNE RAPOONE</t>
  </si>
  <si>
    <t>MAKHOMO</t>
  </si>
  <si>
    <t>SR</t>
  </si>
  <si>
    <t>krishnamurthys@cput.ac.za</t>
  </si>
  <si>
    <t>SENTHIL</t>
  </si>
  <si>
    <t>KRISHNAMURTHY</t>
  </si>
  <si>
    <t>0000-0002-3418-0332</t>
  </si>
  <si>
    <t>saals@cput.ac.za</t>
  </si>
  <si>
    <t>SHELDON CHRISLEE</t>
  </si>
  <si>
    <t>SAAL</t>
  </si>
  <si>
    <t>magagulas@cput.ac.za</t>
  </si>
  <si>
    <t>SIBONELO GOODMAN</t>
  </si>
  <si>
    <t>MAGAGULA</t>
  </si>
  <si>
    <t>SG</t>
  </si>
  <si>
    <t>ntshibas@cput.ac.za</t>
  </si>
  <si>
    <t>SIKHO</t>
  </si>
  <si>
    <t>NTSHIBA</t>
  </si>
  <si>
    <t>nqabisas@cput.ac.za</t>
  </si>
  <si>
    <t>SIMPHIWE</t>
  </si>
  <si>
    <t>nompungas@cput.ac.za</t>
  </si>
  <si>
    <t>SIMPIWE SABATA SAMUEL</t>
  </si>
  <si>
    <t>NOMPUNGA</t>
  </si>
  <si>
    <t>SSS</t>
  </si>
  <si>
    <t>boois@cput.ac.za</t>
  </si>
  <si>
    <t>SINDISWA CECILIA</t>
  </si>
  <si>
    <t>BOOI</t>
  </si>
  <si>
    <t>DOCTORATE IN ENGINEERING</t>
  </si>
  <si>
    <t>On maternity leave - interruption of studies</t>
  </si>
  <si>
    <t>in on a 5 year contract, the main goal is to get the PHD. Wants to start research career, haven't published yet. Did Thuthuka application on waste water treatment but do not want to continue with it, she wants to go separate ways. Excited to do apply and register for PhD 2024. Will go back to the draft article that she wrote in 2018 and try to write an article</t>
  </si>
  <si>
    <t>0000-0001-6037-5988</t>
  </si>
  <si>
    <t>madolos@cput.ac.za</t>
  </si>
  <si>
    <t>SIZWE ETHEWELL</t>
  </si>
  <si>
    <t>MADOLO</t>
  </si>
  <si>
    <t>SE</t>
  </si>
  <si>
    <t>P/T LECTURER: MARITIME STUDIES</t>
  </si>
  <si>
    <t>MATRIC</t>
  </si>
  <si>
    <t>manyumwas@cput.ac.za</t>
  </si>
  <si>
    <t>SONIA</t>
  </si>
  <si>
    <t>MANYUMWA</t>
  </si>
  <si>
    <t>musis@cput.ac.za</t>
  </si>
  <si>
    <t>SOPHIE</t>
  </si>
  <si>
    <t>MUSI</t>
  </si>
  <si>
    <t>bosmans@cput.ac.za</t>
  </si>
  <si>
    <t>STEPHEN</t>
  </si>
  <si>
    <t>BOSMAN</t>
  </si>
  <si>
    <t>WCCN:METRO EAST (COLLEGE BLDG)</t>
  </si>
  <si>
    <t>0000-0003-1339-0100</t>
  </si>
  <si>
    <t>ekwes@cput.ac.za</t>
  </si>
  <si>
    <t>STEPHEN OBONO</t>
  </si>
  <si>
    <t>EKWE</t>
  </si>
  <si>
    <t>SO</t>
  </si>
  <si>
    <t>PhD in Electrical Engineering</t>
  </si>
  <si>
    <t>ramsuroops@cput.ac.za</t>
  </si>
  <si>
    <t>SURESH</t>
  </si>
  <si>
    <t>DEAN</t>
  </si>
  <si>
    <t>DIRECTOR</t>
  </si>
  <si>
    <t>BALKARAN</t>
  </si>
  <si>
    <t>DOCTOR  PHILOSOPHY ENG MECHANICAL</t>
  </si>
  <si>
    <t>0000-0003-2753-796X</t>
  </si>
  <si>
    <t>patnaika@cput.ac.za</t>
  </si>
  <si>
    <t>SWETA</t>
  </si>
  <si>
    <t>0000-0002-5520-9130</t>
  </si>
  <si>
    <t>madzimbamutot@cput.ac.za</t>
  </si>
  <si>
    <t>TAFIRENYIKA FRASER</t>
  </si>
  <si>
    <t>NYAMAYARO MADZIMBAMUTO</t>
  </si>
  <si>
    <t>TF</t>
  </si>
  <si>
    <t xml:space="preserve"> Briefly I decided to consolidate my current work in emerging technology and curriculum development, together with various projects in engineering education into an Engineering Education PhD. This approach will:
1. Fit into the needs of the department and faculty at large
2. Will not require me to deviate from my current projects that I have already spent some years developing to the current stage
3. Will likely result in a significant contribution to Teaching and Learning in my department, and probably in the faculty
4. Will be done synchronously with a complimentary, but separate study by a colleague, also aimed at a PhD study, and focussing on L&amp;T activities in Engineering.
The scope of the study will include the development of a framework to bridge the ICT skills gap in Chemical Engineering Education, and the development of inclusive, industry 4.0-aligned competencies using microcomputer technologies. From my discussions with Prof Ojumu, it is an important and necessary study at this time, without which, as a department, we may lag behind the technological revolution occurring around us. My plan is to formally submit a proposal to you for your consideration and guidance.
I credit you for the motivation to consolidate my current projects into a PhD study of this kind. I will be getting in touch soon with a complete proposal.</t>
  </si>
  <si>
    <t>0000-0001-5264-0411</t>
  </si>
  <si>
    <t>chipangat@cput.ac.za</t>
  </si>
  <si>
    <t>TENDAI</t>
  </si>
  <si>
    <t>CHIPANGA</t>
  </si>
  <si>
    <t>DEng in Mechanical Engineering</t>
  </si>
  <si>
    <t>0000-0003-0828-9569</t>
  </si>
  <si>
    <t>thuset@cput.ac.za</t>
  </si>
  <si>
    <t>THABANI</t>
  </si>
  <si>
    <t>THUSE</t>
  </si>
  <si>
    <t>MTECH CARTOGRAPHY</t>
  </si>
  <si>
    <t>PHD IN ENGINEERING</t>
  </si>
  <si>
    <t>tendayit@cput.ac.za</t>
  </si>
  <si>
    <t>TINASHE GEORGE</t>
  </si>
  <si>
    <t>TENDAYI</t>
  </si>
  <si>
    <t>TG</t>
  </si>
  <si>
    <t>0000-0001-7386-1731</t>
  </si>
  <si>
    <t>fishert@cput.ac.za</t>
  </si>
  <si>
    <t>TOUFEEQ</t>
  </si>
  <si>
    <t>FISHER</t>
  </si>
  <si>
    <t>B.SC (GEOMATICS)</t>
  </si>
  <si>
    <t>ngewanatz@cput.ac.za</t>
  </si>
  <si>
    <t>TROLLIP ZWELETHU</t>
  </si>
  <si>
    <t>NGEWANA</t>
  </si>
  <si>
    <t>TZ</t>
  </si>
  <si>
    <t>selatolep@cput.ac.za</t>
  </si>
  <si>
    <t>TSHEPHISHO</t>
  </si>
  <si>
    <t>SELATOLE</t>
  </si>
  <si>
    <t>MASTER OF ARTS</t>
  </si>
  <si>
    <t xml:space="preserve">MPhil DEVELOPMENT FINANCE </t>
  </si>
  <si>
    <t>ojumut@cput.ac.za</t>
  </si>
  <si>
    <t>TUNDE VICTOR</t>
  </si>
  <si>
    <t>OJUMU</t>
  </si>
  <si>
    <t>TV</t>
  </si>
  <si>
    <t>0000-0002-5245-0770</t>
  </si>
  <si>
    <t>festerv@cput.ac.za</t>
  </si>
  <si>
    <t>VERUSCHA GRIZELDA</t>
  </si>
  <si>
    <t>FESTER</t>
  </si>
  <si>
    <t>VG</t>
  </si>
  <si>
    <t>ASSISTANT DEAN:  RESEARCH &amp; INNOVATION</t>
  </si>
  <si>
    <t>0000-0003-4727-1660</t>
  </si>
  <si>
    <t>balyanv@cput.ac.za</t>
  </si>
  <si>
    <t>VIPIN</t>
  </si>
  <si>
    <t>V</t>
  </si>
  <si>
    <t>PHD</t>
  </si>
  <si>
    <t>0000-0002-5032-8966</t>
  </si>
  <si>
    <t>moyov@cput.ac.za</t>
  </si>
  <si>
    <t>VUSUMUZI</t>
  </si>
  <si>
    <t>MOYO</t>
  </si>
  <si>
    <t>LECTURER (WEF 1/5/2014)</t>
  </si>
  <si>
    <t>MASTER OF ENG SC (ELECTRONIC ENGINEERING</t>
  </si>
  <si>
    <t>DOCTOR OF ENGINEERING IN ELECTRICAL ENG</t>
  </si>
  <si>
    <t>vutlharimabasa@gmail.com</t>
  </si>
  <si>
    <t>VUTLHARI ABSALOM</t>
  </si>
  <si>
    <t>MALULEKE</t>
  </si>
  <si>
    <t>VA</t>
  </si>
  <si>
    <t xml:space="preserve"> LECTURER</t>
  </si>
  <si>
    <t>PhD. MECHANOBIOLOGY</t>
  </si>
  <si>
    <t>MoniV@cput.ac.za</t>
  </si>
  <si>
    <t>VUYANI</t>
  </si>
  <si>
    <t>MONI</t>
  </si>
  <si>
    <t>NgqubaV@cput.ac.za</t>
  </si>
  <si>
    <t>VUYO</t>
  </si>
  <si>
    <t>NGQUBA (DEC)</t>
  </si>
  <si>
    <t>APPOINTMENT TYPE CHANGED DEC)</t>
  </si>
  <si>
    <t>kohlhoferw@cput.ac.za</t>
  </si>
  <si>
    <t>WALTER</t>
  </si>
  <si>
    <t>KOHLHOFER</t>
  </si>
  <si>
    <t>MSC ENGINEERING</t>
  </si>
  <si>
    <t>mitchellwp@cput.ac.za</t>
  </si>
  <si>
    <t>WAYNE PATRICK</t>
  </si>
  <si>
    <t>MITCHELL</t>
  </si>
  <si>
    <t>WP</t>
  </si>
  <si>
    <t>nkomow@cput.ac.za</t>
  </si>
  <si>
    <t>WENDY</t>
  </si>
  <si>
    <t>NKOMO</t>
  </si>
  <si>
    <t>MASTER OF ENINEERING IN ELECTRICAL ENGINEERING</t>
  </si>
  <si>
    <t>DOCTOR OF ENGINEERING IN ELECTRICAL ENGINEERING</t>
  </si>
  <si>
    <t>alexanderw@cput.ac.za</t>
  </si>
  <si>
    <t>WESLEY WAGNER</t>
  </si>
  <si>
    <t>ALEXANDER</t>
  </si>
  <si>
    <t>WW</t>
  </si>
  <si>
    <t xml:space="preserve">P </t>
  </si>
  <si>
    <t>heuvelwh@cput.ac.za</t>
  </si>
  <si>
    <t>WHITNEY EMBETH</t>
  </si>
  <si>
    <t>HEUVEL</t>
  </si>
  <si>
    <t>WE</t>
  </si>
  <si>
    <t>Doctor of Engineering</t>
  </si>
  <si>
    <t xml:space="preserve">Slow progress Chapter 1,2,3 submitted. Currently busy with data analysis for Chapter 4 and 1st article. </t>
  </si>
  <si>
    <t>nguz-mbavw@cput.ac.za</t>
  </si>
  <si>
    <t>WILFRIED MBAV</t>
  </si>
  <si>
    <t>NGUZ</t>
  </si>
  <si>
    <t>WM</t>
  </si>
  <si>
    <t>MSC ELECTRICAL ENGINEERING</t>
  </si>
  <si>
    <t>DOCTORATE DEGREE</t>
  </si>
  <si>
    <t>boshoffw@cput.ac.za</t>
  </si>
  <si>
    <t>WILLEM BEYERS</t>
  </si>
  <si>
    <t>c</t>
  </si>
  <si>
    <t>ngetichw@cput.ac.za</t>
  </si>
  <si>
    <t>WILLY KIPROTICH</t>
  </si>
  <si>
    <t>NGETICH</t>
  </si>
  <si>
    <t>WK</t>
  </si>
  <si>
    <t>Electronic Vehicle (EV) Power Training – a Project Based Learning</t>
  </si>
  <si>
    <t>WILLY-MARTIN</t>
  </si>
  <si>
    <t>MUKENDI</t>
  </si>
  <si>
    <t>PHD: MECHANICAL ENGINEERING</t>
  </si>
  <si>
    <t>skosanax@cput.ac.za</t>
  </si>
  <si>
    <t>XOLANI NELSON</t>
  </si>
  <si>
    <t>SKOSANA</t>
  </si>
  <si>
    <t>XN</t>
  </si>
  <si>
    <t>Owusu-AsanteY@cput.ac.za</t>
  </si>
  <si>
    <t>YAW</t>
  </si>
  <si>
    <t>OWUSU ASANTE</t>
  </si>
  <si>
    <t>Y</t>
  </si>
  <si>
    <t>GHANA</t>
  </si>
  <si>
    <t>mfoumboulouy@cput.ac.za</t>
  </si>
  <si>
    <t>YOHAN DARCY</t>
  </si>
  <si>
    <t>MFOUMBOULOU</t>
  </si>
  <si>
    <t>YD</t>
  </si>
  <si>
    <t>SENIOR LECTURER WEF 1/7/2024</t>
  </si>
  <si>
    <t>0000-0002-6758-5635</t>
  </si>
  <si>
    <t>MBEKELAY@cput.ac.za</t>
  </si>
  <si>
    <t>YOLISA UKHO NANGOKO</t>
  </si>
  <si>
    <t>MBEKELA</t>
  </si>
  <si>
    <t>YUN</t>
  </si>
  <si>
    <t xml:space="preserve"> JUNIOR LECTURER</t>
  </si>
  <si>
    <t>matendey@cput.ac.za</t>
  </si>
  <si>
    <t>YONELA</t>
  </si>
  <si>
    <t>MATENDE</t>
  </si>
  <si>
    <t>MAGISTER TECH TOWN &amp; REGIONAL PLANNING</t>
  </si>
  <si>
    <t>bassadieny@cput.ac.za</t>
  </si>
  <si>
    <t>YUSHRICK</t>
  </si>
  <si>
    <t>BASSADIEN</t>
  </si>
  <si>
    <t>nkosiz@cput.ac.za</t>
  </si>
  <si>
    <t>ZAKHELE THOMAS</t>
  </si>
  <si>
    <t>NKOSI</t>
  </si>
  <si>
    <t>ZT</t>
  </si>
  <si>
    <t>PHD.ENG</t>
  </si>
  <si>
    <t>SIQUNGATHIZ@cput.ac.za</t>
  </si>
  <si>
    <t>ZEZETHU</t>
  </si>
  <si>
    <t>SIQUNGATHI</t>
  </si>
  <si>
    <t>Z</t>
  </si>
  <si>
    <t>DYONGOZ@cput.ac.za</t>
  </si>
  <si>
    <t>ZIYANDA</t>
  </si>
  <si>
    <t>DYONGO (DEC)</t>
  </si>
  <si>
    <t>CONTRACT RENEWED (DEC)</t>
  </si>
  <si>
    <t>gwelez@cput.ac.za</t>
  </si>
  <si>
    <t>ZUQAQAMBE</t>
  </si>
  <si>
    <t>GWELE</t>
  </si>
  <si>
    <t>roser@cput.ac.za</t>
  </si>
  <si>
    <t> Not Rated</t>
  </si>
  <si>
    <t>n.d.</t>
  </si>
  <si>
    <t>NRF Rating Status</t>
  </si>
  <si>
    <t xml:space="preserve">Rated </t>
  </si>
  <si>
    <t>HoD
Title</t>
  </si>
  <si>
    <t>HoD
 Init</t>
  </si>
  <si>
    <t>HoD Surname</t>
  </si>
  <si>
    <t>BALYAN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</si>
</sst>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yyyy\-mm\-dd;@"/>
    <numFmt numFmtId="165" formatCode=";;"/>
    <numFmt numFmtId="166" formatCode="[$-409]mmm\-yy;@"/>
    <numFmt numFmtId="167" formatCode="mmm\-yyyy"/>
    <numFmt numFmtId="168" formatCode="0.0"/>
    <numFmt numFmtId="169" formatCode="0.0000"/>
  </numFmts>
  <fonts count="30">
    <font>
      <sz val="11"/>
      <color theme="1"/>
      <name val="Calibri"/>
      <family val="2"/>
      <scheme val="minor"/>
    </font>
    <font>
      <sz val="11"/>
      <color theme="1"/>
      <name val="Calibri"/>
      <family val="2"/>
      <scheme val="minor"/>
    </font>
    <font>
      <u/>
      <sz val="11"/>
      <color theme="10"/>
      <name val="Calibri"/>
      <family val="2"/>
      <scheme val="minor"/>
    </font>
    <font>
      <b/>
      <sz val="9"/>
      <color rgb="FF000000"/>
      <name val="Calibri"/>
      <family val="2"/>
      <scheme val="minor"/>
    </font>
    <font>
      <sz val="9"/>
      <color rgb="FF000000"/>
      <name val="Calibri"/>
      <family val="2"/>
      <scheme val="minor"/>
    </font>
    <font>
      <sz val="9"/>
      <color theme="1"/>
      <name val="Calibri"/>
      <family val="2"/>
      <scheme val="minor"/>
    </font>
    <font>
      <b/>
      <sz val="9"/>
      <name val="Calibri"/>
      <family val="2"/>
      <scheme val="minor"/>
    </font>
    <font>
      <sz val="9"/>
      <name val="Calibri"/>
      <family val="2"/>
      <scheme val="minor"/>
    </font>
    <font>
      <sz val="9"/>
      <color rgb="FFFF0000"/>
      <name val="Calibri"/>
      <family val="2"/>
      <scheme val="minor"/>
    </font>
    <font>
      <u/>
      <sz val="9"/>
      <color theme="10"/>
      <name val="Calibri"/>
      <family val="2"/>
      <scheme val="minor"/>
    </font>
    <font>
      <sz val="9"/>
      <color theme="1"/>
      <name val="Segoe UI"/>
      <family val="2"/>
    </font>
    <font>
      <sz val="9"/>
      <color rgb="FF222222"/>
      <name val="Calibri"/>
      <family val="2"/>
      <scheme val="minor"/>
    </font>
    <font>
      <sz val="10"/>
      <color theme="1"/>
      <name val="Segoe UI"/>
      <family val="2"/>
    </font>
    <font>
      <u/>
      <sz val="9"/>
      <color theme="1"/>
      <name val="Calibri"/>
      <family val="2"/>
      <scheme val="minor"/>
    </font>
    <font>
      <sz val="9"/>
      <color theme="9"/>
      <name val="Calibri"/>
      <family val="2"/>
      <scheme val="minor"/>
    </font>
    <font>
      <u/>
      <sz val="9"/>
      <name val="Calibri"/>
      <family val="2"/>
      <scheme val="minor"/>
    </font>
    <font>
      <b/>
      <sz val="9"/>
      <color rgb="FFFF0000"/>
      <name val="Calibri"/>
      <family val="2"/>
      <scheme val="minor"/>
    </font>
    <font>
      <sz val="8"/>
      <color theme="1"/>
      <name val="Calibri"/>
      <family val="2"/>
      <scheme val="minor"/>
    </font>
    <font>
      <sz val="10"/>
      <color theme="1"/>
      <name val="Cambria"/>
      <family val="1"/>
    </font>
    <font>
      <sz val="9"/>
      <color theme="1"/>
      <name val="Calibri"/>
      <family val="2"/>
    </font>
    <font>
      <sz val="10"/>
      <name val="Segoe UI"/>
      <family val="2"/>
    </font>
    <font>
      <sz val="10"/>
      <name val="Arial"/>
      <family val="2"/>
    </font>
    <font>
      <sz val="9"/>
      <color rgb="FF3C7D22"/>
      <name val="Calibri"/>
      <family val="2"/>
      <scheme val="minor"/>
    </font>
    <font>
      <sz val="10"/>
      <color theme="1"/>
      <name val="Calibri"/>
      <family val="2"/>
      <scheme val="minor"/>
    </font>
    <font>
      <u/>
      <sz val="9"/>
      <color rgb="FF467886"/>
      <name val="Calibri"/>
      <family val="2"/>
      <scheme val="minor"/>
    </font>
    <font>
      <sz val="9"/>
      <color theme="9"/>
      <name val="Calibri "/>
    </font>
    <font>
      <sz val="9"/>
      <color theme="1"/>
      <name val="Calibri Light"/>
      <family val="2"/>
      <scheme val="major"/>
    </font>
    <font>
      <sz val="9"/>
      <color rgb="FF92D050"/>
      <name val="Calibri"/>
      <family val="2"/>
      <scheme val="minor"/>
    </font>
    <font>
      <u/>
      <sz val="9"/>
      <color theme="9"/>
      <name val="Calibri"/>
      <family val="2"/>
      <scheme val="minor"/>
    </font>
    <font>
      <sz val="8"/>
      <name val="Calibri"/>
      <family val="2"/>
      <scheme val="minor"/>
    </font>
  </fonts>
  <fills count="18">
    <fill>
      <patternFill patternType="none"/>
    </fill>
    <fill>
      <patternFill patternType="gray125"/>
    </fill>
    <fill>
      <patternFill patternType="solid">
        <fgColor rgb="FF83CCEB"/>
        <bgColor rgb="FF000000"/>
      </patternFill>
    </fill>
    <fill>
      <patternFill patternType="solid">
        <fgColor rgb="FFCAEDFB"/>
        <bgColor rgb="FF000000"/>
      </patternFill>
    </fill>
    <fill>
      <patternFill patternType="solid">
        <fgColor rgb="FFB5E6A2"/>
        <bgColor rgb="FF000000"/>
      </patternFill>
    </fill>
    <fill>
      <patternFill patternType="solid">
        <fgColor rgb="FF0F9ED5"/>
        <bgColor rgb="FF000000"/>
      </patternFill>
    </fill>
    <fill>
      <patternFill patternType="solid">
        <fgColor rgb="FFDAF2D0"/>
        <bgColor rgb="FF000000"/>
      </patternFill>
    </fill>
    <fill>
      <patternFill patternType="solid">
        <fgColor rgb="FFDAE9F8"/>
        <bgColor rgb="FF000000"/>
      </patternFill>
    </fill>
    <fill>
      <patternFill patternType="solid">
        <fgColor rgb="FFFBE2D5"/>
        <bgColor rgb="FF000000"/>
      </patternFill>
    </fill>
    <fill>
      <patternFill patternType="solid">
        <fgColor rgb="FFC0E6F5"/>
        <bgColor rgb="FF000000"/>
      </patternFill>
    </fill>
    <fill>
      <patternFill patternType="solid">
        <fgColor rgb="FFF1A983"/>
        <bgColor rgb="FF000000"/>
      </patternFill>
    </fill>
    <fill>
      <patternFill patternType="solid">
        <fgColor rgb="FFFFFFFF"/>
        <bgColor rgb="FF000000"/>
      </patternFill>
    </fill>
    <fill>
      <patternFill patternType="solid">
        <fgColor rgb="FFFF0000"/>
        <bgColor rgb="FF000000"/>
      </patternFill>
    </fill>
    <fill>
      <patternFill patternType="solid">
        <fgColor theme="0"/>
        <bgColor indexed="64"/>
      </patternFill>
    </fill>
    <fill>
      <patternFill patternType="solid">
        <fgColor rgb="FFC6E0B4"/>
        <bgColor rgb="FF000000"/>
      </patternFill>
    </fill>
    <fill>
      <patternFill patternType="solid">
        <fgColor rgb="FFFFFF00"/>
        <bgColor indexed="64"/>
      </patternFill>
    </fill>
    <fill>
      <patternFill patternType="solid">
        <fgColor theme="5"/>
        <bgColor indexed="64"/>
      </patternFill>
    </fill>
    <fill>
      <patternFill patternType="solid">
        <fgColor theme="0"/>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210">
    <xf numFmtId="0" fontId="0" fillId="0" borderId="0" xfId="0"/>
    <xf numFmtId="0" fontId="5" fillId="0" borderId="0" xfId="0" applyFont="1" applyAlignment="1">
      <alignment horizontal="left" vertical="top"/>
    </xf>
    <xf numFmtId="0" fontId="6"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6" fillId="2" borderId="1" xfId="0" applyFont="1" applyFill="1" applyBorder="1" applyAlignment="1">
      <alignment horizontal="center" vertical="top" wrapText="1"/>
    </xf>
    <xf numFmtId="164" fontId="3" fillId="2" borderId="1" xfId="0" applyNumberFormat="1" applyFont="1" applyFill="1" applyBorder="1" applyAlignment="1">
      <alignment horizontal="left" vertical="top"/>
    </xf>
    <xf numFmtId="0" fontId="3" fillId="2" borderId="1" xfId="0" applyFont="1" applyFill="1" applyBorder="1" applyAlignment="1">
      <alignment horizontal="left" vertical="top"/>
    </xf>
    <xf numFmtId="164" fontId="3" fillId="2" borderId="1" xfId="0" applyNumberFormat="1" applyFont="1" applyFill="1" applyBorder="1" applyAlignment="1">
      <alignment horizontal="left" vertical="top" wrapText="1"/>
    </xf>
    <xf numFmtId="0" fontId="6" fillId="3"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165" fontId="6" fillId="6" borderId="1" xfId="0" applyNumberFormat="1" applyFont="1" applyFill="1" applyBorder="1" applyAlignment="1">
      <alignment horizontal="left" vertical="top" wrapText="1"/>
    </xf>
    <xf numFmtId="0" fontId="6"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6" fillId="9"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7" fillId="0" borderId="1" xfId="0" applyFont="1" applyBorder="1" applyAlignment="1">
      <alignment horizontal="left" vertical="top"/>
    </xf>
    <xf numFmtId="0" fontId="4" fillId="0" borderId="1" xfId="0" applyFont="1" applyBorder="1" applyAlignment="1">
      <alignment horizontal="left" vertical="top"/>
    </xf>
    <xf numFmtId="0" fontId="7" fillId="0" borderId="1" xfId="0" applyFont="1" applyBorder="1" applyAlignment="1">
      <alignment horizontal="center" vertical="top"/>
    </xf>
    <xf numFmtId="164" fontId="4" fillId="0" borderId="1" xfId="0" applyNumberFormat="1" applyFont="1" applyBorder="1" applyAlignment="1">
      <alignment horizontal="left" vertical="top"/>
    </xf>
    <xf numFmtId="1" fontId="4" fillId="0" borderId="1" xfId="0" applyNumberFormat="1" applyFont="1" applyBorder="1" applyAlignment="1">
      <alignment horizontal="left" vertical="top"/>
    </xf>
    <xf numFmtId="0" fontId="7" fillId="11" borderId="1" xfId="0" applyFont="1" applyFill="1" applyBorder="1" applyAlignment="1">
      <alignment horizontal="left" vertical="top"/>
    </xf>
    <xf numFmtId="166" fontId="7" fillId="11" borderId="1" xfId="0" applyNumberFormat="1" applyFont="1" applyFill="1" applyBorder="1" applyAlignment="1">
      <alignment horizontal="left" vertical="top"/>
    </xf>
    <xf numFmtId="1" fontId="4" fillId="11" borderId="1" xfId="0" applyNumberFormat="1" applyFont="1" applyFill="1" applyBorder="1" applyAlignment="1">
      <alignment horizontal="left" vertical="top"/>
    </xf>
    <xf numFmtId="1" fontId="7" fillId="11" borderId="1" xfId="0" applyNumberFormat="1" applyFont="1" applyFill="1" applyBorder="1" applyAlignment="1">
      <alignment horizontal="left" vertical="top"/>
    </xf>
    <xf numFmtId="0" fontId="8" fillId="0" borderId="0" xfId="0" applyFont="1" applyAlignment="1">
      <alignment horizontal="left" vertical="top"/>
    </xf>
    <xf numFmtId="0" fontId="5" fillId="0" borderId="1" xfId="0" applyFont="1" applyBorder="1" applyAlignment="1">
      <alignment horizontal="left" vertical="top"/>
    </xf>
    <xf numFmtId="0" fontId="5" fillId="0" borderId="4" xfId="0" applyFont="1" applyBorder="1" applyAlignment="1">
      <alignment horizontal="left" vertical="top"/>
    </xf>
    <xf numFmtId="0" fontId="5" fillId="0" borderId="1" xfId="0" applyFont="1" applyBorder="1" applyAlignment="1">
      <alignment horizontal="center" vertical="top"/>
    </xf>
    <xf numFmtId="164" fontId="5" fillId="0" borderId="1" xfId="0" applyNumberFormat="1" applyFont="1" applyBorder="1" applyAlignment="1">
      <alignment horizontal="left" vertical="top"/>
    </xf>
    <xf numFmtId="1" fontId="5" fillId="0" borderId="1" xfId="0" applyNumberFormat="1" applyFont="1" applyBorder="1" applyAlignment="1">
      <alignment horizontal="left" vertical="top"/>
    </xf>
    <xf numFmtId="0" fontId="5" fillId="11" borderId="1" xfId="0" applyFont="1" applyFill="1" applyBorder="1" applyAlignment="1">
      <alignment horizontal="left" vertical="top"/>
    </xf>
    <xf numFmtId="166" fontId="5" fillId="11" borderId="1" xfId="0" applyNumberFormat="1" applyFont="1" applyFill="1" applyBorder="1" applyAlignment="1">
      <alignment horizontal="left" vertical="top"/>
    </xf>
    <xf numFmtId="0" fontId="4" fillId="11" borderId="1" xfId="0" applyFont="1" applyFill="1" applyBorder="1" applyAlignment="1">
      <alignment horizontal="left" vertical="top"/>
    </xf>
    <xf numFmtId="0" fontId="5" fillId="0" borderId="1" xfId="0" applyFont="1" applyBorder="1" applyAlignment="1">
      <alignment vertical="top"/>
    </xf>
    <xf numFmtId="2" fontId="7" fillId="11" borderId="1" xfId="0" applyNumberFormat="1" applyFont="1" applyFill="1" applyBorder="1" applyAlignment="1">
      <alignment horizontal="left" vertical="top"/>
    </xf>
    <xf numFmtId="164" fontId="7" fillId="0" borderId="1" xfId="0" applyNumberFormat="1" applyFont="1" applyBorder="1" applyAlignment="1">
      <alignment horizontal="left" vertical="top"/>
    </xf>
    <xf numFmtId="1" fontId="7" fillId="0" borderId="1" xfId="0" applyNumberFormat="1" applyFont="1" applyBorder="1" applyAlignment="1">
      <alignment horizontal="left" vertical="top"/>
    </xf>
    <xf numFmtId="0" fontId="8" fillId="0" borderId="1" xfId="0" applyFont="1" applyBorder="1" applyAlignment="1">
      <alignment horizontal="left" vertical="top"/>
    </xf>
    <xf numFmtId="0" fontId="9" fillId="0" borderId="1" xfId="2" applyFont="1" applyBorder="1" applyAlignment="1">
      <alignment horizontal="left" vertical="top"/>
    </xf>
    <xf numFmtId="15" fontId="5" fillId="0" borderId="1" xfId="1" applyNumberFormat="1" applyFont="1" applyBorder="1" applyAlignment="1">
      <alignment horizontal="left" vertical="top"/>
    </xf>
    <xf numFmtId="167" fontId="5" fillId="0" borderId="1" xfId="0" applyNumberFormat="1" applyFont="1" applyBorder="1" applyAlignment="1">
      <alignment horizontal="left" vertical="top"/>
    </xf>
    <xf numFmtId="0" fontId="8" fillId="11" borderId="1" xfId="0" applyFont="1" applyFill="1" applyBorder="1" applyAlignment="1">
      <alignment horizontal="left" vertical="top"/>
    </xf>
    <xf numFmtId="15" fontId="0" fillId="0" borderId="1" xfId="1" applyNumberFormat="1" applyFont="1" applyBorder="1" applyAlignment="1">
      <alignment horizontal="left" vertical="top"/>
    </xf>
    <xf numFmtId="0" fontId="10" fillId="0" borderId="1" xfId="0" applyFont="1" applyBorder="1" applyAlignment="1">
      <alignment horizontal="left" vertical="top"/>
    </xf>
    <xf numFmtId="167" fontId="10" fillId="0" borderId="1" xfId="0" applyNumberFormat="1" applyFont="1" applyBorder="1" applyAlignment="1">
      <alignment horizontal="left" vertical="top"/>
    </xf>
    <xf numFmtId="0" fontId="7" fillId="0" borderId="0" xfId="0" applyFont="1" applyAlignment="1">
      <alignment horizontal="left" vertical="top"/>
    </xf>
    <xf numFmtId="0" fontId="7" fillId="11" borderId="1" xfId="0" applyFont="1" applyFill="1" applyBorder="1" applyAlignment="1">
      <alignment horizontal="left" vertical="top" wrapText="1"/>
    </xf>
    <xf numFmtId="0" fontId="7" fillId="0" borderId="1" xfId="0" applyFont="1" applyBorder="1" applyAlignment="1">
      <alignment vertical="top"/>
    </xf>
    <xf numFmtId="15" fontId="7" fillId="0" borderId="1" xfId="1" applyNumberFormat="1" applyFont="1" applyBorder="1" applyAlignment="1">
      <alignment horizontal="left" vertical="top"/>
    </xf>
    <xf numFmtId="167" fontId="7" fillId="0" borderId="1" xfId="0" applyNumberFormat="1" applyFont="1" applyBorder="1" applyAlignment="1">
      <alignment horizontal="left" vertical="top"/>
    </xf>
    <xf numFmtId="0" fontId="4" fillId="11" borderId="1" xfId="0" applyFont="1" applyFill="1" applyBorder="1" applyAlignment="1">
      <alignment horizontal="left" vertical="top" readingOrder="1"/>
    </xf>
    <xf numFmtId="14" fontId="4" fillId="0" borderId="1" xfId="0" applyNumberFormat="1" applyFont="1" applyBorder="1" applyAlignment="1">
      <alignment horizontal="left" vertical="top"/>
    </xf>
    <xf numFmtId="0" fontId="11" fillId="11" borderId="1" xfId="0" applyFont="1" applyFill="1" applyBorder="1" applyAlignment="1">
      <alignment horizontal="left" vertical="top" wrapText="1"/>
    </xf>
    <xf numFmtId="0" fontId="7" fillId="0" borderId="1" xfId="0" applyFont="1" applyBorder="1" applyAlignment="1">
      <alignment horizontal="left" vertical="top" wrapText="1"/>
    </xf>
    <xf numFmtId="0" fontId="12" fillId="0" borderId="1" xfId="0" applyFont="1" applyBorder="1" applyAlignment="1">
      <alignment horizontal="left" vertical="top"/>
    </xf>
    <xf numFmtId="167" fontId="12" fillId="0" borderId="1" xfId="0" applyNumberFormat="1" applyFont="1" applyBorder="1" applyAlignment="1">
      <alignment horizontal="left" vertical="top"/>
    </xf>
    <xf numFmtId="0" fontId="13" fillId="0" borderId="1" xfId="2" applyFont="1" applyBorder="1" applyAlignment="1">
      <alignment horizontal="left" vertical="top"/>
    </xf>
    <xf numFmtId="166" fontId="7" fillId="12" borderId="1" xfId="0" applyNumberFormat="1" applyFont="1" applyFill="1" applyBorder="1" applyAlignment="1">
      <alignment horizontal="left" vertical="top"/>
    </xf>
    <xf numFmtId="166" fontId="7" fillId="13" borderId="1" xfId="0" applyNumberFormat="1" applyFont="1" applyFill="1" applyBorder="1" applyAlignment="1">
      <alignment horizontal="left" vertical="top"/>
    </xf>
    <xf numFmtId="168" fontId="7" fillId="11" borderId="1" xfId="0" applyNumberFormat="1" applyFont="1" applyFill="1" applyBorder="1" applyAlignment="1">
      <alignment horizontal="left" vertical="top"/>
    </xf>
    <xf numFmtId="0" fontId="14" fillId="0" borderId="1" xfId="0" applyFont="1" applyBorder="1" applyAlignment="1">
      <alignment horizontal="left" vertical="top"/>
    </xf>
    <xf numFmtId="0" fontId="15" fillId="0" borderId="1" xfId="2" applyFont="1" applyBorder="1" applyAlignment="1">
      <alignment horizontal="left" vertical="top"/>
    </xf>
    <xf numFmtId="0" fontId="2" fillId="0" borderId="1" xfId="2" applyBorder="1" applyAlignment="1">
      <alignment horizontal="left" vertical="top"/>
    </xf>
    <xf numFmtId="0" fontId="7" fillId="0" borderId="4" xfId="0" applyFont="1" applyBorder="1" applyAlignment="1">
      <alignment horizontal="left" vertical="top"/>
    </xf>
    <xf numFmtId="0" fontId="4" fillId="14" borderId="1" xfId="0" applyFont="1" applyFill="1" applyBorder="1" applyAlignment="1">
      <alignment horizontal="left" vertical="top"/>
    </xf>
    <xf numFmtId="0" fontId="16" fillId="0" borderId="1" xfId="0" applyFont="1" applyBorder="1" applyAlignment="1">
      <alignment horizontal="left" vertical="top"/>
    </xf>
    <xf numFmtId="0" fontId="14" fillId="0" borderId="0" xfId="0" applyFont="1" applyAlignment="1">
      <alignment horizontal="left" vertical="top"/>
    </xf>
    <xf numFmtId="0" fontId="4" fillId="0" borderId="0" xfId="0" applyFont="1" applyAlignment="1">
      <alignment horizontal="left" vertical="top"/>
    </xf>
    <xf numFmtId="0" fontId="17" fillId="0" borderId="1" xfId="0" applyFont="1" applyBorder="1" applyAlignment="1">
      <alignment horizontal="left" vertical="top"/>
    </xf>
    <xf numFmtId="0" fontId="4" fillId="11" borderId="1" xfId="0" applyFont="1" applyFill="1" applyBorder="1" applyAlignment="1">
      <alignment horizontal="center" vertical="top"/>
    </xf>
    <xf numFmtId="0" fontId="4" fillId="0" borderId="1" xfId="0" applyFont="1" applyBorder="1" applyAlignment="1">
      <alignment horizontal="center" vertical="top"/>
    </xf>
    <xf numFmtId="166" fontId="4" fillId="11" borderId="1" xfId="0" applyNumberFormat="1" applyFont="1" applyFill="1" applyBorder="1" applyAlignment="1">
      <alignment horizontal="left" vertical="top"/>
    </xf>
    <xf numFmtId="2" fontId="4" fillId="11" borderId="1" xfId="0" applyNumberFormat="1" applyFont="1" applyFill="1" applyBorder="1" applyAlignment="1">
      <alignment horizontal="left" vertical="top"/>
    </xf>
    <xf numFmtId="169" fontId="7" fillId="11" borderId="1" xfId="0" applyNumberFormat="1" applyFont="1" applyFill="1" applyBorder="1" applyAlignment="1">
      <alignment horizontal="left" vertical="top"/>
    </xf>
    <xf numFmtId="16" fontId="4" fillId="0" borderId="1" xfId="0" applyNumberFormat="1" applyFont="1" applyBorder="1" applyAlignment="1">
      <alignment horizontal="left" vertical="top"/>
    </xf>
    <xf numFmtId="0" fontId="3" fillId="0" borderId="1" xfId="0" applyFont="1" applyBorder="1" applyAlignment="1">
      <alignment horizontal="left" vertical="top"/>
    </xf>
    <xf numFmtId="0" fontId="8" fillId="11" borderId="1" xfId="0" applyFont="1" applyFill="1" applyBorder="1" applyAlignment="1">
      <alignment horizontal="left" vertical="top" wrapText="1"/>
    </xf>
    <xf numFmtId="2" fontId="8" fillId="0" borderId="1" xfId="0" applyNumberFormat="1" applyFont="1" applyBorder="1" applyAlignment="1">
      <alignment horizontal="left" vertical="top" wrapText="1"/>
    </xf>
    <xf numFmtId="2" fontId="7" fillId="0" borderId="1" xfId="0" applyNumberFormat="1" applyFont="1" applyBorder="1" applyAlignment="1">
      <alignment horizontal="left" vertical="top" wrapText="1"/>
    </xf>
    <xf numFmtId="166" fontId="7" fillId="0" borderId="1" xfId="0" applyNumberFormat="1" applyFont="1" applyBorder="1" applyAlignment="1">
      <alignment horizontal="left" vertical="top"/>
    </xf>
    <xf numFmtId="0" fontId="8" fillId="0" borderId="1" xfId="0" applyFont="1" applyBorder="1" applyAlignment="1">
      <alignment horizontal="left" vertical="top" wrapText="1"/>
    </xf>
    <xf numFmtId="15" fontId="4" fillId="0" borderId="1" xfId="0" applyNumberFormat="1" applyFont="1" applyBorder="1" applyAlignment="1">
      <alignment horizontal="left" vertical="top"/>
    </xf>
    <xf numFmtId="0" fontId="4" fillId="0" borderId="1" xfId="0" applyFont="1" applyBorder="1" applyAlignment="1">
      <alignment horizontal="left" vertical="top" wrapText="1"/>
    </xf>
    <xf numFmtId="164" fontId="8" fillId="0" borderId="1" xfId="0" applyNumberFormat="1" applyFont="1" applyBorder="1" applyAlignment="1">
      <alignment horizontal="left" vertical="top"/>
    </xf>
    <xf numFmtId="1" fontId="8" fillId="0" borderId="1" xfId="0" applyNumberFormat="1" applyFont="1" applyBorder="1" applyAlignment="1">
      <alignment horizontal="left" vertical="top"/>
    </xf>
    <xf numFmtId="166" fontId="8" fillId="11" borderId="1" xfId="0" applyNumberFormat="1" applyFont="1" applyFill="1" applyBorder="1" applyAlignment="1">
      <alignment horizontal="left" vertical="top"/>
    </xf>
    <xf numFmtId="1" fontId="8" fillId="11" borderId="1" xfId="0" applyNumberFormat="1" applyFont="1" applyFill="1" applyBorder="1" applyAlignment="1">
      <alignment horizontal="left" vertical="top"/>
    </xf>
    <xf numFmtId="15" fontId="5" fillId="0" borderId="1" xfId="0" applyNumberFormat="1" applyFont="1" applyBorder="1" applyAlignment="1">
      <alignment horizontal="left" vertical="top"/>
    </xf>
    <xf numFmtId="0" fontId="19" fillId="0" borderId="1" xfId="0" applyFont="1" applyBorder="1" applyAlignment="1">
      <alignment horizontal="left"/>
    </xf>
    <xf numFmtId="17" fontId="5" fillId="0" borderId="1" xfId="0" applyNumberFormat="1" applyFont="1" applyBorder="1" applyAlignment="1">
      <alignment horizontal="left" vertical="top"/>
    </xf>
    <xf numFmtId="0" fontId="20" fillId="0" borderId="1" xfId="0" applyFont="1" applyBorder="1"/>
    <xf numFmtId="15" fontId="21" fillId="0" borderId="1" xfId="0" applyNumberFormat="1" applyFont="1" applyBorder="1" applyAlignment="1">
      <alignment horizontal="left" vertical="top"/>
    </xf>
    <xf numFmtId="0" fontId="8" fillId="0" borderId="1" xfId="0" applyFont="1" applyBorder="1" applyAlignment="1">
      <alignment horizontal="center" vertical="top"/>
    </xf>
    <xf numFmtId="0" fontId="22" fillId="0" borderId="1" xfId="0" applyFont="1" applyBorder="1" applyAlignment="1">
      <alignment horizontal="left" vertical="top"/>
    </xf>
    <xf numFmtId="0" fontId="22" fillId="0" borderId="1" xfId="0" applyFont="1" applyBorder="1" applyAlignment="1">
      <alignment horizontal="center" vertical="top"/>
    </xf>
    <xf numFmtId="164" fontId="22" fillId="0" borderId="1" xfId="0" applyNumberFormat="1" applyFont="1" applyBorder="1" applyAlignment="1">
      <alignment horizontal="left" vertical="top"/>
    </xf>
    <xf numFmtId="0" fontId="22" fillId="11" borderId="1" xfId="0" applyFont="1" applyFill="1" applyBorder="1" applyAlignment="1">
      <alignment horizontal="left" vertical="top"/>
    </xf>
    <xf numFmtId="166" fontId="22" fillId="11" borderId="1" xfId="0" applyNumberFormat="1" applyFont="1" applyFill="1" applyBorder="1" applyAlignment="1">
      <alignment horizontal="left" vertical="top"/>
    </xf>
    <xf numFmtId="165" fontId="4" fillId="0" borderId="1" xfId="0" applyNumberFormat="1" applyFont="1" applyBorder="1" applyAlignment="1">
      <alignment horizontal="left" vertical="top"/>
    </xf>
    <xf numFmtId="0" fontId="7" fillId="11" borderId="1" xfId="0" applyFont="1" applyFill="1" applyBorder="1" applyAlignment="1">
      <alignment horizontal="left" vertical="top" readingOrder="1"/>
    </xf>
    <xf numFmtId="0" fontId="15" fillId="0" borderId="1" xfId="0" applyFont="1" applyBorder="1" applyAlignment="1">
      <alignment horizontal="left" vertical="top"/>
    </xf>
    <xf numFmtId="0" fontId="5" fillId="0" borderId="1" xfId="2" applyFont="1" applyBorder="1" applyAlignment="1">
      <alignment horizontal="left" vertical="top"/>
    </xf>
    <xf numFmtId="2" fontId="5" fillId="0" borderId="1" xfId="0" applyNumberFormat="1" applyFont="1" applyBorder="1" applyAlignment="1">
      <alignment horizontal="left" vertical="top"/>
    </xf>
    <xf numFmtId="0" fontId="4" fillId="0" borderId="4" xfId="0" applyFont="1" applyBorder="1" applyAlignment="1">
      <alignment horizontal="left" vertical="top"/>
    </xf>
    <xf numFmtId="166" fontId="8" fillId="0" borderId="1" xfId="0" applyNumberFormat="1" applyFont="1" applyBorder="1" applyAlignment="1">
      <alignment horizontal="left" vertical="top"/>
    </xf>
    <xf numFmtId="0" fontId="6" fillId="0" borderId="1" xfId="0" applyFont="1" applyBorder="1" applyAlignment="1">
      <alignment horizontal="left" vertical="top"/>
    </xf>
    <xf numFmtId="164" fontId="5" fillId="0" borderId="1" xfId="1" applyNumberFormat="1" applyFont="1" applyBorder="1" applyAlignment="1">
      <alignment horizontal="left" vertical="top"/>
    </xf>
    <xf numFmtId="1" fontId="5" fillId="11" borderId="1" xfId="0" applyNumberFormat="1" applyFont="1" applyFill="1" applyBorder="1" applyAlignment="1">
      <alignment horizontal="left" vertical="top"/>
    </xf>
    <xf numFmtId="0" fontId="7" fillId="0" borderId="1" xfId="0" quotePrefix="1" applyFont="1" applyBorder="1" applyAlignment="1">
      <alignment horizontal="left" vertical="top"/>
    </xf>
    <xf numFmtId="1" fontId="14" fillId="0" borderId="1" xfId="0" applyNumberFormat="1" applyFont="1" applyBorder="1" applyAlignment="1">
      <alignment horizontal="left" vertical="top"/>
    </xf>
    <xf numFmtId="169" fontId="7" fillId="0" borderId="1" xfId="0" applyNumberFormat="1" applyFont="1" applyBorder="1" applyAlignment="1">
      <alignment horizontal="left" vertical="top"/>
    </xf>
    <xf numFmtId="169" fontId="8" fillId="11" borderId="1" xfId="0" applyNumberFormat="1" applyFont="1" applyFill="1" applyBorder="1" applyAlignment="1">
      <alignment horizontal="left" vertical="top" wrapText="1"/>
    </xf>
    <xf numFmtId="169" fontId="7" fillId="11" borderId="1" xfId="0" applyNumberFormat="1" applyFont="1" applyFill="1" applyBorder="1" applyAlignment="1">
      <alignment horizontal="left" vertical="top" wrapText="1"/>
    </xf>
    <xf numFmtId="167" fontId="23" fillId="0" borderId="1" xfId="0" applyNumberFormat="1" applyFont="1" applyBorder="1" applyAlignment="1">
      <alignment horizontal="left" vertical="top"/>
    </xf>
    <xf numFmtId="0" fontId="4" fillId="11" borderId="1" xfId="0" applyFont="1" applyFill="1" applyBorder="1" applyAlignment="1">
      <alignment horizontal="left" vertical="top" wrapText="1"/>
    </xf>
    <xf numFmtId="166" fontId="4" fillId="11" borderId="1" xfId="0" applyNumberFormat="1" applyFont="1" applyFill="1" applyBorder="1" applyAlignment="1">
      <alignment horizontal="left" vertical="top" wrapText="1"/>
    </xf>
    <xf numFmtId="15" fontId="4" fillId="14" borderId="1" xfId="0" applyNumberFormat="1" applyFont="1" applyFill="1" applyBorder="1" applyAlignment="1">
      <alignment horizontal="left" vertical="top"/>
    </xf>
    <xf numFmtId="0" fontId="4" fillId="14" borderId="1" xfId="0" applyFont="1" applyFill="1" applyBorder="1" applyAlignment="1">
      <alignment horizontal="left" vertical="top" wrapText="1"/>
    </xf>
    <xf numFmtId="0" fontId="7" fillId="14" borderId="1" xfId="0" applyFont="1" applyFill="1" applyBorder="1" applyAlignment="1">
      <alignment horizontal="left" vertical="top"/>
    </xf>
    <xf numFmtId="0" fontId="24" fillId="0" borderId="1" xfId="0" applyFont="1" applyBorder="1" applyAlignment="1">
      <alignment horizontal="left" vertical="top"/>
    </xf>
    <xf numFmtId="164" fontId="23" fillId="0" borderId="1" xfId="1" applyNumberFormat="1" applyFont="1" applyBorder="1" applyAlignment="1">
      <alignment horizontal="left" vertical="top"/>
    </xf>
    <xf numFmtId="0" fontId="23" fillId="0" borderId="1" xfId="0" applyFont="1" applyBorder="1" applyAlignment="1">
      <alignment horizontal="left" vertical="top"/>
    </xf>
    <xf numFmtId="2" fontId="8" fillId="11" borderId="1" xfId="0" applyNumberFormat="1" applyFont="1" applyFill="1" applyBorder="1" applyAlignment="1">
      <alignment horizontal="left" vertical="top"/>
    </xf>
    <xf numFmtId="165" fontId="7" fillId="11" borderId="1" xfId="0" applyNumberFormat="1" applyFont="1" applyFill="1" applyBorder="1" applyAlignment="1">
      <alignment horizontal="left" vertical="top"/>
    </xf>
    <xf numFmtId="2" fontId="8" fillId="0" borderId="1" xfId="0" applyNumberFormat="1" applyFont="1" applyBorder="1" applyAlignment="1">
      <alignment horizontal="left" vertical="top"/>
    </xf>
    <xf numFmtId="0" fontId="20" fillId="0" borderId="1" xfId="0" applyFont="1" applyBorder="1" applyAlignment="1">
      <alignment horizontal="left" vertical="top"/>
    </xf>
    <xf numFmtId="0" fontId="0" fillId="0" borderId="1" xfId="0" applyBorder="1" applyAlignment="1">
      <alignment vertical="center" wrapText="1"/>
    </xf>
    <xf numFmtId="1" fontId="8" fillId="11" borderId="1" xfId="0" applyNumberFormat="1" applyFont="1" applyFill="1" applyBorder="1" applyAlignment="1">
      <alignment horizontal="left" vertical="top" wrapText="1"/>
    </xf>
    <xf numFmtId="165" fontId="8" fillId="0" borderId="1" xfId="0" applyNumberFormat="1" applyFont="1" applyBorder="1" applyAlignment="1">
      <alignment horizontal="left" vertical="top"/>
    </xf>
    <xf numFmtId="2" fontId="7" fillId="0" borderId="1" xfId="0" applyNumberFormat="1" applyFont="1" applyBorder="1" applyAlignment="1">
      <alignment horizontal="left" vertical="top"/>
    </xf>
    <xf numFmtId="0" fontId="14" fillId="0" borderId="1" xfId="0" applyFont="1" applyBorder="1" applyAlignment="1">
      <alignment horizontal="center" vertical="top"/>
    </xf>
    <xf numFmtId="15" fontId="25" fillId="0" borderId="1" xfId="1" applyNumberFormat="1" applyFont="1" applyBorder="1" applyAlignment="1">
      <alignment horizontal="left" vertical="top"/>
    </xf>
    <xf numFmtId="0" fontId="25" fillId="0" borderId="1" xfId="0" applyFont="1" applyBorder="1" applyAlignment="1">
      <alignment horizontal="left" vertical="top"/>
    </xf>
    <xf numFmtId="167" fontId="25" fillId="0" borderId="1" xfId="0" applyNumberFormat="1" applyFont="1" applyBorder="1" applyAlignment="1">
      <alignment horizontal="left" vertical="top"/>
    </xf>
    <xf numFmtId="0" fontId="14" fillId="15" borderId="0" xfId="0" applyFont="1" applyFill="1" applyAlignment="1">
      <alignment horizontal="left" vertical="top"/>
    </xf>
    <xf numFmtId="0" fontId="23" fillId="0" borderId="1" xfId="0" applyFont="1" applyBorder="1" applyAlignment="1">
      <alignment vertical="top"/>
    </xf>
    <xf numFmtId="15" fontId="23" fillId="0" borderId="1" xfId="0" applyNumberFormat="1" applyFont="1" applyBorder="1" applyAlignment="1">
      <alignment vertical="top"/>
    </xf>
    <xf numFmtId="17" fontId="23" fillId="0" borderId="1" xfId="0" applyNumberFormat="1" applyFont="1" applyBorder="1" applyAlignment="1">
      <alignment horizontal="left" vertical="top"/>
    </xf>
    <xf numFmtId="1" fontId="8" fillId="0" borderId="1" xfId="0" applyNumberFormat="1" applyFont="1" applyBorder="1" applyAlignment="1">
      <alignment horizontal="left" vertical="top" wrapText="1"/>
    </xf>
    <xf numFmtId="1" fontId="7" fillId="0" borderId="1" xfId="0" applyNumberFormat="1" applyFont="1" applyBorder="1" applyAlignment="1">
      <alignment horizontal="left" vertical="top" wrapText="1"/>
    </xf>
    <xf numFmtId="0" fontId="14" fillId="11" borderId="1" xfId="0" applyFont="1" applyFill="1" applyBorder="1" applyAlignment="1">
      <alignment horizontal="left" vertical="top"/>
    </xf>
    <xf numFmtId="2" fontId="14" fillId="11" borderId="1" xfId="0" applyNumberFormat="1" applyFont="1" applyFill="1" applyBorder="1" applyAlignment="1">
      <alignment horizontal="left" vertical="top"/>
    </xf>
    <xf numFmtId="0" fontId="5" fillId="0" borderId="1" xfId="0" applyFont="1" applyBorder="1"/>
    <xf numFmtId="0" fontId="8" fillId="11" borderId="1" xfId="0" applyFont="1" applyFill="1" applyBorder="1" applyAlignment="1">
      <alignment horizontal="left" vertical="top" readingOrder="1"/>
    </xf>
    <xf numFmtId="166" fontId="5" fillId="0" borderId="1" xfId="0" applyNumberFormat="1" applyFont="1" applyBorder="1" applyAlignment="1">
      <alignment horizontal="left" vertical="top"/>
    </xf>
    <xf numFmtId="0" fontId="26" fillId="0" borderId="1" xfId="0" applyFont="1" applyBorder="1" applyAlignment="1">
      <alignment horizontal="left" vertical="top"/>
    </xf>
    <xf numFmtId="0" fontId="5" fillId="11" borderId="1" xfId="0" applyFont="1" applyFill="1" applyBorder="1" applyAlignment="1">
      <alignment horizontal="left" vertical="top" wrapText="1"/>
    </xf>
    <xf numFmtId="166" fontId="5" fillId="12" borderId="1" xfId="0" applyNumberFormat="1" applyFont="1" applyFill="1" applyBorder="1" applyAlignment="1">
      <alignment horizontal="left" vertical="top"/>
    </xf>
    <xf numFmtId="168" fontId="8" fillId="11" borderId="1" xfId="0" applyNumberFormat="1" applyFont="1" applyFill="1" applyBorder="1" applyAlignment="1">
      <alignment horizontal="left" vertical="top"/>
    </xf>
    <xf numFmtId="3" fontId="7" fillId="0" borderId="1" xfId="0" applyNumberFormat="1" applyFont="1" applyBorder="1" applyAlignment="1">
      <alignment horizontal="left" vertical="top"/>
    </xf>
    <xf numFmtId="169" fontId="8" fillId="0" borderId="1" xfId="0" applyNumberFormat="1" applyFont="1" applyBorder="1" applyAlignment="1">
      <alignment horizontal="left" vertical="top"/>
    </xf>
    <xf numFmtId="166" fontId="5" fillId="13" borderId="1" xfId="0" applyNumberFormat="1" applyFont="1" applyFill="1" applyBorder="1" applyAlignment="1">
      <alignment horizontal="left" vertical="top"/>
    </xf>
    <xf numFmtId="0" fontId="7" fillId="0" borderId="1" xfId="0" applyFont="1" applyBorder="1" applyAlignment="1">
      <alignment horizontal="left" wrapText="1"/>
    </xf>
    <xf numFmtId="0" fontId="5" fillId="11" borderId="1" xfId="0" applyFont="1" applyFill="1" applyBorder="1" applyAlignment="1">
      <alignment horizontal="left" vertical="top" readingOrder="1"/>
    </xf>
    <xf numFmtId="0" fontId="27" fillId="0" borderId="0" xfId="0" applyFont="1" applyAlignment="1">
      <alignment horizontal="left" vertical="top"/>
    </xf>
    <xf numFmtId="0" fontId="5" fillId="0" borderId="4" xfId="0" applyFont="1" applyBorder="1" applyAlignment="1">
      <alignment horizontal="center" vertical="top"/>
    </xf>
    <xf numFmtId="164" fontId="14" fillId="0" borderId="1" xfId="0" applyNumberFormat="1" applyFont="1" applyBorder="1" applyAlignment="1">
      <alignment horizontal="left" vertical="top"/>
    </xf>
    <xf numFmtId="166" fontId="14" fillId="12" borderId="1" xfId="0" applyNumberFormat="1" applyFont="1" applyFill="1" applyBorder="1" applyAlignment="1">
      <alignment horizontal="left" vertical="top"/>
    </xf>
    <xf numFmtId="0" fontId="14" fillId="11" borderId="1" xfId="0" applyFont="1" applyFill="1" applyBorder="1" applyAlignment="1">
      <alignment horizontal="center" vertical="top"/>
    </xf>
    <xf numFmtId="166" fontId="14" fillId="11" borderId="1" xfId="0" applyNumberFormat="1" applyFont="1" applyFill="1" applyBorder="1" applyAlignment="1">
      <alignment horizontal="left" vertical="top"/>
    </xf>
    <xf numFmtId="0" fontId="28" fillId="0" borderId="1" xfId="2" applyFont="1" applyBorder="1" applyAlignment="1">
      <alignment horizontal="left" vertical="top"/>
    </xf>
    <xf numFmtId="0" fontId="5" fillId="0" borderId="0" xfId="0" applyFont="1" applyAlignment="1">
      <alignment horizontal="center" vertical="top"/>
    </xf>
    <xf numFmtId="164" fontId="5" fillId="0" borderId="0" xfId="0" applyNumberFormat="1" applyFont="1" applyAlignment="1">
      <alignment horizontal="left" vertical="top"/>
    </xf>
    <xf numFmtId="0" fontId="5" fillId="16" borderId="0" xfId="0" applyFont="1" applyFill="1" applyAlignment="1">
      <alignment horizontal="left" vertical="top"/>
    </xf>
    <xf numFmtId="0" fontId="5" fillId="13" borderId="1" xfId="0" applyFont="1" applyFill="1" applyBorder="1" applyAlignment="1">
      <alignment horizontal="left" vertical="top"/>
    </xf>
    <xf numFmtId="0" fontId="5" fillId="13" borderId="1" xfId="0" applyFont="1" applyFill="1" applyBorder="1" applyAlignment="1">
      <alignment horizontal="center" vertical="top"/>
    </xf>
    <xf numFmtId="164" fontId="5" fillId="13" borderId="1" xfId="0" applyNumberFormat="1" applyFont="1" applyFill="1" applyBorder="1" applyAlignment="1">
      <alignment horizontal="left" vertical="top"/>
    </xf>
    <xf numFmtId="1" fontId="5" fillId="13" borderId="1" xfId="0" applyNumberFormat="1" applyFont="1" applyFill="1" applyBorder="1" applyAlignment="1">
      <alignment horizontal="left" vertical="top"/>
    </xf>
    <xf numFmtId="0" fontId="7" fillId="13" borderId="1" xfId="0" applyFont="1" applyFill="1" applyBorder="1" applyAlignment="1">
      <alignment horizontal="left" vertical="top"/>
    </xf>
    <xf numFmtId="0" fontId="8" fillId="13" borderId="0" xfId="0" applyFont="1" applyFill="1" applyAlignment="1">
      <alignment horizontal="left" vertical="top"/>
    </xf>
    <xf numFmtId="15" fontId="5" fillId="13" borderId="1" xfId="0" applyNumberFormat="1" applyFont="1" applyFill="1" applyBorder="1" applyAlignment="1">
      <alignment horizontal="left" vertical="top"/>
    </xf>
    <xf numFmtId="0" fontId="7" fillId="13" borderId="0" xfId="0" applyFont="1" applyFill="1" applyAlignment="1">
      <alignment horizontal="left" vertical="top"/>
    </xf>
    <xf numFmtId="0" fontId="5" fillId="13" borderId="1" xfId="0" applyFont="1" applyFill="1" applyBorder="1" applyAlignment="1">
      <alignment vertical="top"/>
    </xf>
    <xf numFmtId="0" fontId="7" fillId="13" borderId="1" xfId="0" applyFont="1" applyFill="1" applyBorder="1" applyAlignment="1">
      <alignment vertical="top"/>
    </xf>
    <xf numFmtId="0" fontId="7" fillId="13" borderId="1" xfId="0" applyFont="1" applyFill="1" applyBorder="1" applyAlignment="1">
      <alignment horizontal="center" vertical="top"/>
    </xf>
    <xf numFmtId="164" fontId="4" fillId="13" borderId="1" xfId="0" applyNumberFormat="1" applyFont="1" applyFill="1" applyBorder="1" applyAlignment="1">
      <alignment horizontal="left" vertical="top"/>
    </xf>
    <xf numFmtId="1" fontId="4" fillId="13" borderId="1" xfId="0" applyNumberFormat="1" applyFont="1" applyFill="1" applyBorder="1" applyAlignment="1">
      <alignment horizontal="left" vertical="top"/>
    </xf>
    <xf numFmtId="0" fontId="7" fillId="17" borderId="1" xfId="0" applyFont="1" applyFill="1" applyBorder="1" applyAlignment="1">
      <alignment horizontal="left" vertical="top"/>
    </xf>
    <xf numFmtId="166" fontId="7" fillId="17" borderId="1" xfId="0" applyNumberFormat="1" applyFont="1" applyFill="1" applyBorder="1" applyAlignment="1">
      <alignment horizontal="left" vertical="top"/>
    </xf>
    <xf numFmtId="0" fontId="4" fillId="17" borderId="1" xfId="0" applyFont="1" applyFill="1" applyBorder="1" applyAlignment="1">
      <alignment horizontal="left" vertical="top"/>
    </xf>
    <xf numFmtId="0" fontId="4" fillId="13" borderId="1" xfId="0" applyFont="1" applyFill="1" applyBorder="1" applyAlignment="1">
      <alignment horizontal="left" vertical="top"/>
    </xf>
    <xf numFmtId="2" fontId="7" fillId="17" borderId="1" xfId="0" applyNumberFormat="1" applyFont="1" applyFill="1" applyBorder="1" applyAlignment="1">
      <alignment horizontal="left" vertical="top"/>
    </xf>
    <xf numFmtId="0" fontId="8" fillId="17" borderId="1" xfId="0" applyFont="1" applyFill="1" applyBorder="1" applyAlignment="1">
      <alignment horizontal="left" vertical="top" wrapText="1"/>
    </xf>
    <xf numFmtId="0" fontId="14" fillId="13" borderId="0" xfId="0" applyFont="1" applyFill="1" applyAlignment="1">
      <alignment horizontal="left" vertical="top"/>
    </xf>
    <xf numFmtId="0" fontId="14" fillId="13" borderId="1" xfId="0" applyFont="1" applyFill="1" applyBorder="1" applyAlignment="1">
      <alignment horizontal="left" vertical="top"/>
    </xf>
    <xf numFmtId="0" fontId="14" fillId="13" borderId="1" xfId="0" applyFont="1" applyFill="1" applyBorder="1" applyAlignment="1">
      <alignment horizontal="center" vertical="top"/>
    </xf>
    <xf numFmtId="15" fontId="14" fillId="13" borderId="1" xfId="1" applyNumberFormat="1" applyFont="1" applyFill="1" applyBorder="1" applyAlignment="1">
      <alignment horizontal="left" vertical="top"/>
    </xf>
    <xf numFmtId="0" fontId="7" fillId="17" borderId="1" xfId="0" applyFont="1" applyFill="1" applyBorder="1" applyAlignment="1">
      <alignment horizontal="left" vertical="top" wrapText="1"/>
    </xf>
    <xf numFmtId="0" fontId="4" fillId="0" borderId="6" xfId="0" applyFont="1" applyBorder="1" applyAlignment="1">
      <alignment horizontal="left" vertical="top"/>
    </xf>
    <xf numFmtId="0" fontId="4" fillId="0" borderId="5" xfId="0" applyFont="1" applyBorder="1" applyAlignment="1">
      <alignment horizontal="left" vertical="top"/>
    </xf>
    <xf numFmtId="0" fontId="4" fillId="0" borderId="7" xfId="0" applyFont="1" applyBorder="1" applyAlignment="1">
      <alignment horizontal="left" vertical="top"/>
    </xf>
    <xf numFmtId="0" fontId="7" fillId="0" borderId="5" xfId="0" applyFont="1" applyBorder="1" applyAlignment="1">
      <alignment horizontal="left" vertical="top"/>
    </xf>
    <xf numFmtId="0" fontId="7" fillId="0" borderId="4" xfId="0" applyFont="1" applyBorder="1" applyAlignment="1">
      <alignment horizontal="center" vertical="top"/>
    </xf>
    <xf numFmtId="0" fontId="8" fillId="13" borderId="1" xfId="0" applyFont="1" applyFill="1" applyBorder="1" applyAlignment="1">
      <alignment horizontal="left" vertical="top"/>
    </xf>
    <xf numFmtId="0" fontId="14" fillId="15" borderId="1" xfId="0" applyFont="1" applyFill="1" applyBorder="1" applyAlignment="1">
      <alignment horizontal="left" vertical="top"/>
    </xf>
    <xf numFmtId="0" fontId="8" fillId="0" borderId="0" xfId="0" applyFont="1" applyBorder="1" applyAlignment="1">
      <alignment horizontal="left" vertical="top"/>
    </xf>
    <xf numFmtId="0" fontId="5" fillId="0" borderId="2" xfId="0" applyFont="1" applyBorder="1" applyAlignment="1">
      <alignment horizontal="left" vertical="top"/>
    </xf>
    <xf numFmtId="0" fontId="7" fillId="0" borderId="0" xfId="0" applyFont="1" applyBorder="1" applyAlignment="1">
      <alignment horizontal="left" vertical="top"/>
    </xf>
    <xf numFmtId="0" fontId="5" fillId="0" borderId="4" xfId="0" applyFont="1" applyBorder="1" applyAlignment="1">
      <alignment vertical="top"/>
    </xf>
    <xf numFmtId="0" fontId="18" fillId="0" borderId="1" xfId="0" applyFont="1" applyBorder="1" applyAlignment="1">
      <alignment horizontal="left" vertical="top"/>
    </xf>
    <xf numFmtId="0" fontId="5" fillId="0" borderId="3" xfId="0" applyFont="1" applyBorder="1" applyAlignment="1">
      <alignment horizontal="left" vertical="top"/>
    </xf>
    <xf numFmtId="0" fontId="7" fillId="11" borderId="0" xfId="0" applyFont="1" applyFill="1" applyBorder="1" applyAlignment="1">
      <alignment horizontal="left" vertical="top"/>
    </xf>
    <xf numFmtId="0" fontId="7" fillId="0" borderId="0" xfId="0" applyFont="1" applyBorder="1"/>
    <xf numFmtId="0" fontId="4" fillId="0" borderId="0" xfId="0" applyFont="1" applyBorder="1" applyAlignment="1">
      <alignment horizontal="left" vertical="top"/>
    </xf>
    <xf numFmtId="0" fontId="14" fillId="0" borderId="0" xfId="0" applyFont="1" applyBorder="1" applyAlignment="1">
      <alignment horizontal="left" vertical="top"/>
    </xf>
    <xf numFmtId="0" fontId="5" fillId="0" borderId="0" xfId="0" applyFont="1" applyBorder="1" applyAlignment="1">
      <alignment horizontal="left" vertical="top"/>
    </xf>
    <xf numFmtId="0" fontId="5" fillId="14" borderId="1" xfId="0" applyFont="1" applyFill="1" applyBorder="1" applyAlignment="1">
      <alignment horizontal="left" vertical="top"/>
    </xf>
    <xf numFmtId="0" fontId="4" fillId="14" borderId="5" xfId="0" applyFont="1" applyFill="1" applyBorder="1" applyAlignment="1">
      <alignment horizontal="left" vertical="top"/>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putacza.sharepoint.com/sites/FEBEResearch/Shared%20Documents/Administration/Staff%20Info/FEBE%20Staff%20List%202025.xlsx" TargetMode="External"/><Relationship Id="rId1" Type="http://schemas.openxmlformats.org/officeDocument/2006/relationships/externalLinkPath" Target="https://cputacza.sharepoint.com/sites/FEBEResearch/Shared%20Documents/Administration/Staff%20Info/FEBE%20Staff%20List%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_2ATUGHZJkCSGtDwn_6Z2GcR6haMRqVLqGowvhnT2q455r9FTEcGSbkM0SWbY0IL" itemId="01CN3NOQOCUOZMJJ75CBFKJA5AKAYOR7G5">
      <xxl21:absoluteUrl r:id="rId2"/>
    </xxl21:alternateUrls>
    <sheetNames>
      <sheetName val="FEBE Academics 2024"/>
    </sheetNames>
    <sheetDataSet>
      <sheetData sheetId="0">
        <row r="2">
          <cell r="R2" t="str">
            <v>Birth Date</v>
          </cell>
        </row>
        <row r="4">
          <cell r="R4">
            <v>24424</v>
          </cell>
        </row>
        <row r="5">
          <cell r="R5">
            <v>33015</v>
          </cell>
        </row>
        <row r="6">
          <cell r="R6">
            <v>25679</v>
          </cell>
        </row>
        <row r="7">
          <cell r="R7">
            <v>25711</v>
          </cell>
        </row>
        <row r="8">
          <cell r="R8">
            <v>21819</v>
          </cell>
        </row>
        <row r="9">
          <cell r="R9">
            <v>28685</v>
          </cell>
        </row>
        <row r="10">
          <cell r="R10">
            <v>25682</v>
          </cell>
        </row>
        <row r="11">
          <cell r="R11">
            <v>31480</v>
          </cell>
        </row>
        <row r="13">
          <cell r="R13">
            <v>31190</v>
          </cell>
        </row>
        <row r="14">
          <cell r="R14">
            <v>24181</v>
          </cell>
        </row>
        <row r="15">
          <cell r="R15">
            <v>26670</v>
          </cell>
        </row>
        <row r="18">
          <cell r="R18">
            <v>24381</v>
          </cell>
        </row>
        <row r="19">
          <cell r="R19">
            <v>32948</v>
          </cell>
        </row>
        <row r="20">
          <cell r="R20">
            <v>28480</v>
          </cell>
        </row>
        <row r="21">
          <cell r="R21">
            <v>27684</v>
          </cell>
        </row>
        <row r="22">
          <cell r="R22">
            <v>26381</v>
          </cell>
        </row>
        <row r="23">
          <cell r="R23">
            <v>30247</v>
          </cell>
        </row>
        <row r="24">
          <cell r="R24">
            <v>33823</v>
          </cell>
        </row>
        <row r="25">
          <cell r="R25">
            <v>24639</v>
          </cell>
        </row>
        <row r="26">
          <cell r="R26">
            <v>25334</v>
          </cell>
        </row>
        <row r="27">
          <cell r="R27">
            <v>24821</v>
          </cell>
        </row>
        <row r="28">
          <cell r="R28">
            <v>31924</v>
          </cell>
        </row>
        <row r="29">
          <cell r="R29">
            <v>26860</v>
          </cell>
        </row>
        <row r="30">
          <cell r="R30">
            <v>31304</v>
          </cell>
        </row>
        <row r="31">
          <cell r="R31">
            <v>23131</v>
          </cell>
        </row>
        <row r="32">
          <cell r="R32">
            <v>24718</v>
          </cell>
        </row>
        <row r="33">
          <cell r="R33">
            <v>26946</v>
          </cell>
        </row>
        <row r="34">
          <cell r="R34">
            <v>31219</v>
          </cell>
        </row>
        <row r="35">
          <cell r="R35">
            <v>29578</v>
          </cell>
        </row>
        <row r="36">
          <cell r="R36">
            <v>23106</v>
          </cell>
        </row>
        <row r="37">
          <cell r="R37">
            <v>29850</v>
          </cell>
        </row>
        <row r="38">
          <cell r="R38">
            <v>34463</v>
          </cell>
        </row>
        <row r="39">
          <cell r="R39">
            <v>30390</v>
          </cell>
        </row>
        <row r="40">
          <cell r="R40">
            <v>29123</v>
          </cell>
        </row>
        <row r="42">
          <cell r="R42">
            <v>25292</v>
          </cell>
        </row>
        <row r="45">
          <cell r="R45">
            <v>27626</v>
          </cell>
        </row>
        <row r="46">
          <cell r="R46">
            <v>33820</v>
          </cell>
        </row>
        <row r="47">
          <cell r="R47">
            <v>26561</v>
          </cell>
        </row>
        <row r="48">
          <cell r="R48">
            <v>31138</v>
          </cell>
        </row>
        <row r="49">
          <cell r="R49">
            <v>23053</v>
          </cell>
        </row>
        <row r="50">
          <cell r="R50">
            <v>21582</v>
          </cell>
        </row>
        <row r="51">
          <cell r="R51">
            <v>26689</v>
          </cell>
        </row>
        <row r="52">
          <cell r="R52">
            <v>25644</v>
          </cell>
        </row>
        <row r="53">
          <cell r="R53">
            <v>24163</v>
          </cell>
        </row>
        <row r="54">
          <cell r="R54">
            <v>23218</v>
          </cell>
        </row>
        <row r="55">
          <cell r="R55">
            <v>26822</v>
          </cell>
        </row>
        <row r="56">
          <cell r="R56">
            <v>31188</v>
          </cell>
        </row>
        <row r="58">
          <cell r="R58">
            <v>35126</v>
          </cell>
        </row>
        <row r="60">
          <cell r="R60">
            <v>30234</v>
          </cell>
        </row>
        <row r="61">
          <cell r="R61">
            <v>30459</v>
          </cell>
        </row>
        <row r="63">
          <cell r="R63">
            <v>30831</v>
          </cell>
        </row>
        <row r="64">
          <cell r="R64">
            <v>31424</v>
          </cell>
        </row>
        <row r="65">
          <cell r="R65">
            <v>33309</v>
          </cell>
        </row>
        <row r="66">
          <cell r="R66">
            <v>30139</v>
          </cell>
        </row>
        <row r="67">
          <cell r="R67">
            <v>24635</v>
          </cell>
        </row>
        <row r="69">
          <cell r="R69">
            <v>31023</v>
          </cell>
        </row>
        <row r="70">
          <cell r="R70">
            <v>24516</v>
          </cell>
        </row>
        <row r="71">
          <cell r="R71">
            <v>30463</v>
          </cell>
        </row>
        <row r="72">
          <cell r="R72">
            <v>29871</v>
          </cell>
        </row>
        <row r="73">
          <cell r="R73">
            <v>34442</v>
          </cell>
        </row>
        <row r="74">
          <cell r="R74">
            <v>36124</v>
          </cell>
        </row>
        <row r="76">
          <cell r="R76">
            <v>21397</v>
          </cell>
        </row>
        <row r="77">
          <cell r="R77">
            <v>28811</v>
          </cell>
        </row>
        <row r="78">
          <cell r="R78">
            <v>33192</v>
          </cell>
        </row>
        <row r="79">
          <cell r="R79">
            <v>27850</v>
          </cell>
        </row>
        <row r="80">
          <cell r="R80">
            <v>29694</v>
          </cell>
        </row>
        <row r="83">
          <cell r="R83">
            <v>25798</v>
          </cell>
        </row>
        <row r="84">
          <cell r="R84">
            <v>24895</v>
          </cell>
        </row>
        <row r="86">
          <cell r="R86">
            <v>25257</v>
          </cell>
        </row>
        <row r="87">
          <cell r="R87">
            <v>25619</v>
          </cell>
        </row>
        <row r="88">
          <cell r="R88">
            <v>31237</v>
          </cell>
        </row>
        <row r="89">
          <cell r="R89">
            <v>24318</v>
          </cell>
        </row>
        <row r="90">
          <cell r="R90">
            <v>26262</v>
          </cell>
        </row>
        <row r="91">
          <cell r="R91">
            <v>30020</v>
          </cell>
        </row>
        <row r="92">
          <cell r="R92">
            <v>28909</v>
          </cell>
        </row>
        <row r="96">
          <cell r="R96">
            <v>33716</v>
          </cell>
        </row>
        <row r="97">
          <cell r="R97">
            <v>28926</v>
          </cell>
        </row>
        <row r="98">
          <cell r="R98">
            <v>25538</v>
          </cell>
        </row>
        <row r="99">
          <cell r="R99">
            <v>25492</v>
          </cell>
        </row>
        <row r="100">
          <cell r="R100">
            <v>27550</v>
          </cell>
        </row>
        <row r="101">
          <cell r="R101">
            <v>30486</v>
          </cell>
        </row>
        <row r="103">
          <cell r="R103">
            <v>29838</v>
          </cell>
        </row>
        <row r="104">
          <cell r="R104">
            <v>31147</v>
          </cell>
        </row>
        <row r="105">
          <cell r="R105">
            <v>26665</v>
          </cell>
        </row>
        <row r="106">
          <cell r="R106">
            <v>31299</v>
          </cell>
        </row>
        <row r="107">
          <cell r="R107">
            <v>27671</v>
          </cell>
        </row>
        <row r="109">
          <cell r="R109">
            <v>27049</v>
          </cell>
        </row>
        <row r="110">
          <cell r="R110">
            <v>33377</v>
          </cell>
        </row>
        <row r="111">
          <cell r="R111">
            <v>24884</v>
          </cell>
        </row>
        <row r="112">
          <cell r="R112">
            <v>28758</v>
          </cell>
        </row>
        <row r="113">
          <cell r="R113">
            <v>24886</v>
          </cell>
        </row>
        <row r="115">
          <cell r="R115">
            <v>26739</v>
          </cell>
        </row>
        <row r="116">
          <cell r="R116">
            <v>30951</v>
          </cell>
        </row>
        <row r="117">
          <cell r="R117">
            <v>32619</v>
          </cell>
        </row>
        <row r="118">
          <cell r="R118">
            <v>34899</v>
          </cell>
        </row>
        <row r="120">
          <cell r="R120">
            <v>34270</v>
          </cell>
        </row>
        <row r="121">
          <cell r="R121">
            <v>26963</v>
          </cell>
        </row>
        <row r="122">
          <cell r="R122">
            <v>30075</v>
          </cell>
        </row>
        <row r="123">
          <cell r="R123">
            <v>31615</v>
          </cell>
        </row>
        <row r="124">
          <cell r="R124">
            <v>27476</v>
          </cell>
        </row>
        <row r="125">
          <cell r="R125">
            <v>22722</v>
          </cell>
        </row>
        <row r="127">
          <cell r="R127">
            <v>29824</v>
          </cell>
        </row>
        <row r="128">
          <cell r="R128">
            <v>33806</v>
          </cell>
        </row>
        <row r="129">
          <cell r="R129">
            <v>27691</v>
          </cell>
        </row>
        <row r="130">
          <cell r="R130">
            <v>31454</v>
          </cell>
        </row>
        <row r="131">
          <cell r="R131">
            <v>24281</v>
          </cell>
        </row>
        <row r="132">
          <cell r="R132">
            <v>22136</v>
          </cell>
        </row>
        <row r="133">
          <cell r="R133">
            <v>22763</v>
          </cell>
        </row>
        <row r="135">
          <cell r="R135">
            <v>26887</v>
          </cell>
        </row>
        <row r="136">
          <cell r="R136">
            <v>23785</v>
          </cell>
        </row>
        <row r="137">
          <cell r="R137">
            <v>26334</v>
          </cell>
        </row>
        <row r="139">
          <cell r="R139">
            <v>26243</v>
          </cell>
        </row>
        <row r="140">
          <cell r="R140">
            <v>29635</v>
          </cell>
        </row>
        <row r="141">
          <cell r="R141">
            <v>23710</v>
          </cell>
        </row>
        <row r="145">
          <cell r="R145">
            <v>29255</v>
          </cell>
        </row>
        <row r="146">
          <cell r="R146">
            <v>23427</v>
          </cell>
        </row>
        <row r="147">
          <cell r="R147">
            <v>28443</v>
          </cell>
        </row>
        <row r="148">
          <cell r="R148">
            <v>22925</v>
          </cell>
        </row>
        <row r="150">
          <cell r="R150">
            <v>32932</v>
          </cell>
        </row>
        <row r="151">
          <cell r="R151">
            <v>28469</v>
          </cell>
        </row>
        <row r="152">
          <cell r="R152">
            <v>27653</v>
          </cell>
        </row>
        <row r="154">
          <cell r="R154">
            <v>24702</v>
          </cell>
        </row>
        <row r="156">
          <cell r="R156">
            <v>25341</v>
          </cell>
        </row>
        <row r="157">
          <cell r="R157">
            <v>23500</v>
          </cell>
        </row>
        <row r="158">
          <cell r="R158">
            <v>28079</v>
          </cell>
        </row>
        <row r="159">
          <cell r="R159">
            <v>29075</v>
          </cell>
        </row>
        <row r="160">
          <cell r="R160">
            <v>29919</v>
          </cell>
        </row>
        <row r="161">
          <cell r="R161">
            <v>34666</v>
          </cell>
        </row>
        <row r="162">
          <cell r="R162">
            <v>32713</v>
          </cell>
        </row>
        <row r="163">
          <cell r="R163">
            <v>24120</v>
          </cell>
        </row>
        <row r="166">
          <cell r="R166">
            <v>33765</v>
          </cell>
        </row>
        <row r="167">
          <cell r="R167">
            <v>26582</v>
          </cell>
        </row>
        <row r="168">
          <cell r="R168">
            <v>24500</v>
          </cell>
        </row>
        <row r="170">
          <cell r="R170">
            <v>25107</v>
          </cell>
        </row>
        <row r="171">
          <cell r="R171">
            <v>34855</v>
          </cell>
        </row>
        <row r="172">
          <cell r="R172">
            <v>32914</v>
          </cell>
        </row>
        <row r="173">
          <cell r="R173">
            <v>30578</v>
          </cell>
        </row>
        <row r="174">
          <cell r="R174">
            <v>27946</v>
          </cell>
        </row>
        <row r="175">
          <cell r="R175">
            <v>27517</v>
          </cell>
        </row>
        <row r="176">
          <cell r="R176">
            <v>31195</v>
          </cell>
        </row>
        <row r="177">
          <cell r="R177">
            <v>29655</v>
          </cell>
        </row>
        <row r="178">
          <cell r="R178">
            <v>26985</v>
          </cell>
        </row>
        <row r="179">
          <cell r="R179">
            <v>25031</v>
          </cell>
        </row>
        <row r="180">
          <cell r="R180">
            <v>29906</v>
          </cell>
        </row>
        <row r="181">
          <cell r="R181">
            <v>34706</v>
          </cell>
        </row>
        <row r="182">
          <cell r="R182">
            <v>25369</v>
          </cell>
        </row>
        <row r="184">
          <cell r="R184">
            <v>23233</v>
          </cell>
        </row>
        <row r="185">
          <cell r="R185">
            <v>30409</v>
          </cell>
        </row>
        <row r="186">
          <cell r="R186">
            <v>27294</v>
          </cell>
        </row>
        <row r="187">
          <cell r="R187">
            <v>24246</v>
          </cell>
        </row>
        <row r="188">
          <cell r="R188">
            <v>26737</v>
          </cell>
        </row>
        <row r="189">
          <cell r="R189">
            <v>25014</v>
          </cell>
        </row>
        <row r="190">
          <cell r="R190">
            <v>27304</v>
          </cell>
        </row>
        <row r="191">
          <cell r="R191">
            <v>28258</v>
          </cell>
        </row>
        <row r="193">
          <cell r="R193">
            <v>29196</v>
          </cell>
        </row>
        <row r="197">
          <cell r="R197">
            <v>33685</v>
          </cell>
        </row>
        <row r="198">
          <cell r="R198">
            <v>29310</v>
          </cell>
        </row>
        <row r="199">
          <cell r="R199">
            <v>23316</v>
          </cell>
        </row>
        <row r="200">
          <cell r="R200">
            <v>35204</v>
          </cell>
        </row>
        <row r="201">
          <cell r="R201">
            <v>30765</v>
          </cell>
        </row>
        <row r="203">
          <cell r="R203">
            <v>25619</v>
          </cell>
        </row>
        <row r="204">
          <cell r="R204">
            <v>34416</v>
          </cell>
        </row>
        <row r="205">
          <cell r="R205">
            <v>31166</v>
          </cell>
        </row>
        <row r="206">
          <cell r="R206">
            <v>34140</v>
          </cell>
        </row>
        <row r="207">
          <cell r="R207">
            <v>33104</v>
          </cell>
        </row>
        <row r="208">
          <cell r="R208">
            <v>34010</v>
          </cell>
        </row>
        <row r="210">
          <cell r="R210">
            <v>28292</v>
          </cell>
        </row>
        <row r="211">
          <cell r="R211">
            <v>30688</v>
          </cell>
        </row>
        <row r="212">
          <cell r="R212">
            <v>32926</v>
          </cell>
        </row>
        <row r="214">
          <cell r="R214">
            <v>31885</v>
          </cell>
        </row>
        <row r="216">
          <cell r="R216">
            <v>28337</v>
          </cell>
        </row>
        <row r="217">
          <cell r="R217">
            <v>24199</v>
          </cell>
        </row>
        <row r="220">
          <cell r="R220">
            <v>26092</v>
          </cell>
        </row>
        <row r="221">
          <cell r="R221">
            <v>27493</v>
          </cell>
        </row>
        <row r="222">
          <cell r="R222">
            <v>28922</v>
          </cell>
        </row>
        <row r="223">
          <cell r="R223">
            <v>31398</v>
          </cell>
        </row>
        <row r="224">
          <cell r="R224">
            <v>27456</v>
          </cell>
        </row>
        <row r="225">
          <cell r="R225">
            <v>31667</v>
          </cell>
        </row>
        <row r="226">
          <cell r="R226">
            <v>29502</v>
          </cell>
        </row>
        <row r="228">
          <cell r="R228">
            <v>33634</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8724334-BD80-4806-B56B-F755CB4B2337}"/>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5">
    <wetp:webextensionref xmlns:r="http://schemas.openxmlformats.org/officeDocument/2006/relationships" r:id="rId1"/>
  </wetp:taskpane>
  <wetp:taskpane dockstate="right" visibility="0" width="1225"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32A2E3D-0AB5-414E-9B38-A793D2EF8E13}">
  <we:reference id="a2a4692c-ecd3-4c3d-bc1e-2c407a976176" version="23.0.0.0" store="EXCatalog" storeType="EXCatalog"/>
  <we:alternateReferences>
    <we:reference id="WA200000019" version="23.0.0.0" store="en-ZA"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ebextensions/webextension2.xml><?xml version="1.0" encoding="utf-8"?>
<we:webextension xmlns:we="http://schemas.microsoft.com/office/webextensions/webextension/2010/11" id="{720B0A3F-A2C9-45E6-83E0-FF016A4F2198}">
  <we:reference id="1e10eb66-9ba2-46e3-84ee-57e2a49831f0" version="3.0.0.1" store="EXCatalog" storeType="EXCatalog"/>
  <we:alternateReferences>
    <we:reference id="WA104100404" version="3.0.0.1"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3" Type="http://schemas.openxmlformats.org/officeDocument/2006/relationships/hyperlink" Target="https://orcid.org/0000-0002-4148-4385" TargetMode="External"/><Relationship Id="rId18" Type="http://schemas.openxmlformats.org/officeDocument/2006/relationships/hyperlink" Target="https://orcid.org/0000-0002-6758-5635" TargetMode="External"/><Relationship Id="rId26" Type="http://schemas.openxmlformats.org/officeDocument/2006/relationships/hyperlink" Target="https://orcid.org/0000-0003-3237-3242" TargetMode="External"/><Relationship Id="rId21" Type="http://schemas.openxmlformats.org/officeDocument/2006/relationships/hyperlink" Target="https://orcid.org/0000-0002-8919-5347" TargetMode="External"/><Relationship Id="rId34" Type="http://schemas.openxmlformats.org/officeDocument/2006/relationships/hyperlink" Target="mailto:singhnundlalk@cput.ac.za" TargetMode="External"/><Relationship Id="rId7" Type="http://schemas.openxmlformats.org/officeDocument/2006/relationships/hyperlink" Target="https://orcid.org/0000-0001-8992-6130" TargetMode="External"/><Relationship Id="rId12" Type="http://schemas.openxmlformats.org/officeDocument/2006/relationships/hyperlink" Target="https://orcid.org/0000-0002-3999-6322" TargetMode="External"/><Relationship Id="rId17" Type="http://schemas.openxmlformats.org/officeDocument/2006/relationships/hyperlink" Target="https://orcid.org/0000-0003-3792-0911" TargetMode="External"/><Relationship Id="rId25" Type="http://schemas.openxmlformats.org/officeDocument/2006/relationships/hyperlink" Target="https://orcid.org/0000-0002-6702-6913" TargetMode="External"/><Relationship Id="rId33" Type="http://schemas.openxmlformats.org/officeDocument/2006/relationships/hyperlink" Target="mailto:magudua@cput.ac.za" TargetMode="External"/><Relationship Id="rId38" Type="http://schemas.microsoft.com/office/2019/04/relationships/namedSheetView" Target="../namedSheetViews/namedSheetView1.xml"/><Relationship Id="rId2" Type="http://schemas.openxmlformats.org/officeDocument/2006/relationships/hyperlink" Target="https://orcid.org/0000-0002-1134-5587" TargetMode="External"/><Relationship Id="rId16" Type="http://schemas.openxmlformats.org/officeDocument/2006/relationships/hyperlink" Target="https://orcid.org/0000-0002-6180-4120" TargetMode="External"/><Relationship Id="rId20" Type="http://schemas.openxmlformats.org/officeDocument/2006/relationships/hyperlink" Target="https://orcid.org/0000-0002-2274-2537" TargetMode="External"/><Relationship Id="rId29" Type="http://schemas.openxmlformats.org/officeDocument/2006/relationships/hyperlink" Target="mailto:tshilumbun@cput.ac.za" TargetMode="External"/><Relationship Id="rId1" Type="http://schemas.openxmlformats.org/officeDocument/2006/relationships/hyperlink" Target="https://orcid.org/0000-0002-7186-9171" TargetMode="External"/><Relationship Id="rId6" Type="http://schemas.openxmlformats.org/officeDocument/2006/relationships/hyperlink" Target="https://orcid.org/0000-0001-7119-1957" TargetMode="External"/><Relationship Id="rId11" Type="http://schemas.openxmlformats.org/officeDocument/2006/relationships/hyperlink" Target="https://orcid.org/0000-0002-2152-4570" TargetMode="External"/><Relationship Id="rId24" Type="http://schemas.openxmlformats.org/officeDocument/2006/relationships/hyperlink" Target="https://orcid.org/0000-0002-0427-5461" TargetMode="External"/><Relationship Id="rId32" Type="http://schemas.openxmlformats.org/officeDocument/2006/relationships/hyperlink" Target="mailto:lutad@cput.ac.za" TargetMode="External"/><Relationship Id="rId37" Type="http://schemas.openxmlformats.org/officeDocument/2006/relationships/printerSettings" Target="../printerSettings/printerSettings1.bin"/><Relationship Id="rId5" Type="http://schemas.openxmlformats.org/officeDocument/2006/relationships/hyperlink" Target="https://orcid.org/0000-0003-0828-9569" TargetMode="External"/><Relationship Id="rId15" Type="http://schemas.openxmlformats.org/officeDocument/2006/relationships/hyperlink" Target="https://orcid.org/0000-0003-4701-6029" TargetMode="External"/><Relationship Id="rId23" Type="http://schemas.openxmlformats.org/officeDocument/2006/relationships/hyperlink" Target="https://orcid.org/0000-0001-9000-8556" TargetMode="External"/><Relationship Id="rId28" Type="http://schemas.openxmlformats.org/officeDocument/2006/relationships/hyperlink" Target="mailto:williamsp@cput.ac.za" TargetMode="External"/><Relationship Id="rId36" Type="http://schemas.openxmlformats.org/officeDocument/2006/relationships/hyperlink" Target="mailto:balyanv@cput.ac.za" TargetMode="External"/><Relationship Id="rId10" Type="http://schemas.openxmlformats.org/officeDocument/2006/relationships/hyperlink" Target="https://orcid.org/0009-0003-4387-7208" TargetMode="External"/><Relationship Id="rId19" Type="http://schemas.openxmlformats.org/officeDocument/2006/relationships/hyperlink" Target="https://orcid.org/0000-0003-0058-3034" TargetMode="External"/><Relationship Id="rId31" Type="http://schemas.openxmlformats.org/officeDocument/2006/relationships/hyperlink" Target="mailto:lentoorg@cput.ac.za" TargetMode="External"/><Relationship Id="rId4" Type="http://schemas.openxmlformats.org/officeDocument/2006/relationships/hyperlink" Target="https://orcid.org/0000-0003-3037-5789" TargetMode="External"/><Relationship Id="rId9" Type="http://schemas.openxmlformats.org/officeDocument/2006/relationships/hyperlink" Target="https://orcid.org/0000-0002-9868-8127" TargetMode="External"/><Relationship Id="rId14" Type="http://schemas.openxmlformats.org/officeDocument/2006/relationships/hyperlink" Target="https://orcid.org/0000-0003-3370-1826" TargetMode="External"/><Relationship Id="rId22" Type="http://schemas.openxmlformats.org/officeDocument/2006/relationships/hyperlink" Target="https://orcid.org/0000-0002-5520-9130" TargetMode="External"/><Relationship Id="rId27" Type="http://schemas.openxmlformats.org/officeDocument/2006/relationships/hyperlink" Target="https://orcid.org/0000-0002-7799-2314" TargetMode="External"/><Relationship Id="rId30" Type="http://schemas.openxmlformats.org/officeDocument/2006/relationships/hyperlink" Target="mailto:mphahlelema@cput.ac.za" TargetMode="External"/><Relationship Id="rId35" Type="http://schemas.openxmlformats.org/officeDocument/2006/relationships/hyperlink" Target="mailto:mabudaa@cput.ac.za" TargetMode="External"/><Relationship Id="rId8" Type="http://schemas.openxmlformats.org/officeDocument/2006/relationships/hyperlink" Target="https://orcid.org/0000-0002-9083-840X" TargetMode="External"/><Relationship Id="rId3" Type="http://schemas.openxmlformats.org/officeDocument/2006/relationships/hyperlink" Target="https://orcid.org/0000-0002-8909-28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A6541-F17D-40D5-A39E-326B9851E8F9}">
  <dimension ref="A1:BF231"/>
  <sheetViews>
    <sheetView tabSelected="1" zoomScale="118" zoomScaleNormal="118" workbookViewId="0">
      <pane xSplit="5" topLeftCell="AL1" activePane="topRight" state="frozen"/>
      <selection pane="topRight" activeCell="C1" sqref="C1"/>
    </sheetView>
  </sheetViews>
  <sheetFormatPr defaultColWidth="9.109375" defaultRowHeight="18.75" customHeight="1"/>
  <cols>
    <col min="1" max="1" width="50.109375" style="1" customWidth="1"/>
    <col min="2" max="2" width="8.6640625" style="1" customWidth="1"/>
    <col min="3" max="3" width="26.5546875" style="1" customWidth="1"/>
    <col min="4" max="4" width="24.5546875" style="1" bestFit="1" customWidth="1"/>
    <col min="5" max="5" width="20.5546875" style="1" customWidth="1"/>
    <col min="6" max="6" width="6.88671875" style="163" customWidth="1"/>
    <col min="7" max="7" width="8.88671875" style="163" customWidth="1"/>
    <col min="8" max="8" width="21.109375" style="1" customWidth="1"/>
    <col min="9" max="9" width="9.44140625" style="163" customWidth="1"/>
    <col min="10" max="10" width="13.5546875" style="1" customWidth="1"/>
    <col min="11" max="11" width="13.5546875" style="163" customWidth="1"/>
    <col min="12" max="12" width="13.5546875" style="1" customWidth="1"/>
    <col min="13" max="13" width="25.77734375" style="1" customWidth="1"/>
    <col min="14" max="14" width="13.5546875" style="1" customWidth="1"/>
    <col min="15" max="15" width="10.109375" style="1" customWidth="1"/>
    <col min="16" max="17" width="13.5546875" style="1" customWidth="1"/>
    <col min="18" max="18" width="8.5546875" style="1" customWidth="1"/>
    <col min="19" max="19" width="13.5546875" style="164" customWidth="1"/>
    <col min="20" max="23" width="13.5546875" style="1" customWidth="1"/>
    <col min="24" max="24" width="42.88671875" style="1" bestFit="1" customWidth="1"/>
    <col min="25" max="25" width="13.5546875" style="1" customWidth="1"/>
    <col min="26" max="26" width="21.33203125" style="1" customWidth="1"/>
    <col min="27" max="34" width="13.5546875" style="1" customWidth="1"/>
    <col min="35" max="35" width="8.88671875" style="1" customWidth="1"/>
    <col min="36" max="40" width="8.109375" style="1" customWidth="1"/>
    <col min="41" max="41" width="9" style="1" customWidth="1"/>
    <col min="42" max="42" width="12.44140625" style="1" customWidth="1"/>
    <col min="43" max="43" width="17.77734375" style="1" customWidth="1"/>
    <col min="44" max="44" width="12" style="1" customWidth="1"/>
    <col min="45" max="45" width="11.5546875" style="1" customWidth="1"/>
    <col min="46" max="46" width="14" style="1" customWidth="1"/>
    <col min="47" max="47" width="13.109375" style="1" customWidth="1"/>
    <col min="48" max="48" width="8.109375" style="1" customWidth="1"/>
    <col min="49" max="49" width="8.5546875" style="1" customWidth="1"/>
    <col min="50" max="50" width="9.5546875" style="1" customWidth="1"/>
    <col min="51" max="51" width="7.5546875" style="1" customWidth="1"/>
    <col min="52" max="52" width="8.5546875" style="1" customWidth="1"/>
    <col min="53" max="53" width="8.109375" style="1" customWidth="1"/>
    <col min="54" max="54" width="17.109375" style="1" customWidth="1"/>
    <col min="55" max="55" width="11.109375" style="1" customWidth="1"/>
    <col min="56" max="56" width="12.109375" style="1" customWidth="1"/>
    <col min="57" max="58" width="10.109375" style="1" customWidth="1"/>
    <col min="59" max="16384" width="9.109375" style="1"/>
  </cols>
  <sheetData>
    <row r="1" spans="1:58" ht="66" customHeight="1">
      <c r="A1" s="2" t="s">
        <v>1</v>
      </c>
      <c r="B1" s="3" t="s">
        <v>2</v>
      </c>
      <c r="C1" s="3" t="s">
        <v>3</v>
      </c>
      <c r="D1" s="3" t="s">
        <v>4</v>
      </c>
      <c r="E1" s="2" t="s">
        <v>5</v>
      </c>
      <c r="F1" s="4" t="s">
        <v>6</v>
      </c>
      <c r="G1" s="4" t="s">
        <v>7</v>
      </c>
      <c r="H1" s="2" t="s">
        <v>8</v>
      </c>
      <c r="I1" s="4" t="s">
        <v>9</v>
      </c>
      <c r="J1" s="2" t="s">
        <v>10</v>
      </c>
      <c r="K1" s="4" t="s">
        <v>11</v>
      </c>
      <c r="L1" s="2" t="s">
        <v>12</v>
      </c>
      <c r="M1" s="2" t="s">
        <v>13</v>
      </c>
      <c r="N1" s="2" t="s">
        <v>14</v>
      </c>
      <c r="O1" s="2" t="s">
        <v>15</v>
      </c>
      <c r="P1" s="2" t="s">
        <v>16</v>
      </c>
      <c r="Q1" s="5" t="str">
        <f>'[1]FEBE Academics 2024'!R2</f>
        <v>Birth Date</v>
      </c>
      <c r="R1" s="6" t="s">
        <v>17</v>
      </c>
      <c r="S1" s="7" t="s">
        <v>18</v>
      </c>
      <c r="T1" s="8" t="s">
        <v>19</v>
      </c>
      <c r="U1" s="8" t="s">
        <v>1274</v>
      </c>
      <c r="V1" s="8" t="s">
        <v>1275</v>
      </c>
      <c r="W1" s="8" t="s">
        <v>1276</v>
      </c>
      <c r="X1" s="9" t="s">
        <v>20</v>
      </c>
      <c r="Y1" s="9" t="s">
        <v>21</v>
      </c>
      <c r="Z1" s="9" t="s">
        <v>22</v>
      </c>
      <c r="AA1" s="9" t="s">
        <v>23</v>
      </c>
      <c r="AB1" s="9" t="s">
        <v>24</v>
      </c>
      <c r="AC1" s="9" t="s">
        <v>25</v>
      </c>
      <c r="AD1" s="9" t="s">
        <v>26</v>
      </c>
      <c r="AE1" s="9" t="s">
        <v>27</v>
      </c>
      <c r="AF1" s="9" t="s">
        <v>28</v>
      </c>
      <c r="AG1" s="9" t="s">
        <v>29</v>
      </c>
      <c r="AH1" s="9" t="s">
        <v>30</v>
      </c>
      <c r="AI1" s="10" t="s">
        <v>31</v>
      </c>
      <c r="AJ1" s="11" t="s">
        <v>32</v>
      </c>
      <c r="AK1" s="11" t="s">
        <v>33</v>
      </c>
      <c r="AL1" s="11" t="s">
        <v>34</v>
      </c>
      <c r="AM1" s="12" t="s">
        <v>35</v>
      </c>
      <c r="AN1" s="12" t="s">
        <v>36</v>
      </c>
      <c r="AO1" s="13" t="s">
        <v>37</v>
      </c>
      <c r="AP1" s="13" t="s">
        <v>38</v>
      </c>
      <c r="AQ1" s="14" t="s">
        <v>39</v>
      </c>
      <c r="AR1" s="14" t="s">
        <v>1272</v>
      </c>
      <c r="AS1" s="14" t="s">
        <v>40</v>
      </c>
      <c r="AT1" s="14" t="s">
        <v>41</v>
      </c>
      <c r="AU1" s="14" t="s">
        <v>42</v>
      </c>
      <c r="AV1" s="15" t="s">
        <v>43</v>
      </c>
      <c r="AW1" s="15" t="s">
        <v>44</v>
      </c>
      <c r="AX1" s="15" t="s">
        <v>45</v>
      </c>
      <c r="AY1" s="15" t="s">
        <v>46</v>
      </c>
      <c r="AZ1" s="15" t="s">
        <v>47</v>
      </c>
      <c r="BA1" s="15" t="s">
        <v>48</v>
      </c>
      <c r="BB1" s="15" t="s">
        <v>49</v>
      </c>
      <c r="BC1" s="16" t="s">
        <v>50</v>
      </c>
      <c r="BD1" s="16" t="s">
        <v>51</v>
      </c>
      <c r="BE1" s="16" t="s">
        <v>52</v>
      </c>
      <c r="BF1" s="16" t="s">
        <v>53</v>
      </c>
    </row>
    <row r="2" spans="1:58" s="26" customFormat="1" ht="17.850000000000001" customHeight="1">
      <c r="A2" s="17" t="s">
        <v>69</v>
      </c>
      <c r="B2" s="17">
        <v>30000105</v>
      </c>
      <c r="C2" s="18" t="s">
        <v>685</v>
      </c>
      <c r="D2" s="17" t="s">
        <v>686</v>
      </c>
      <c r="E2" s="22" t="s">
        <v>687</v>
      </c>
      <c r="F2" s="19" t="s">
        <v>688</v>
      </c>
      <c r="G2" s="19" t="s">
        <v>74</v>
      </c>
      <c r="H2" s="17" t="s">
        <v>60</v>
      </c>
      <c r="I2" s="19" t="s">
        <v>76</v>
      </c>
      <c r="J2" s="17" t="s">
        <v>101</v>
      </c>
      <c r="K2" s="19" t="s">
        <v>63</v>
      </c>
      <c r="L2" s="17" t="s">
        <v>78</v>
      </c>
      <c r="M2" s="17" t="s">
        <v>60</v>
      </c>
      <c r="N2" s="17" t="s">
        <v>65</v>
      </c>
      <c r="O2" s="17">
        <v>580</v>
      </c>
      <c r="P2" s="17" t="s">
        <v>79</v>
      </c>
      <c r="Q2" s="37">
        <f>'[1]FEBE Academics 2024'!R4</f>
        <v>24424</v>
      </c>
      <c r="R2" s="38">
        <v>58</v>
      </c>
      <c r="S2" s="20">
        <f>EDATE(Q2,12*65)</f>
        <v>48165</v>
      </c>
      <c r="T2" s="17">
        <v>30000294</v>
      </c>
      <c r="U2" s="17" t="s">
        <v>80</v>
      </c>
      <c r="V2" s="17" t="s">
        <v>81</v>
      </c>
      <c r="W2" s="17" t="s">
        <v>82</v>
      </c>
      <c r="X2" s="22" t="s">
        <v>689</v>
      </c>
      <c r="Y2" s="23">
        <v>35370</v>
      </c>
      <c r="Z2" s="22" t="s">
        <v>0</v>
      </c>
      <c r="AA2" s="22" t="s">
        <v>0</v>
      </c>
      <c r="AB2" s="22" t="s">
        <v>0</v>
      </c>
      <c r="AC2" s="22" t="s">
        <v>0</v>
      </c>
      <c r="AD2" s="22" t="s">
        <v>0</v>
      </c>
      <c r="AE2" s="17" t="s">
        <v>0</v>
      </c>
      <c r="AF2" s="17" t="s">
        <v>0</v>
      </c>
      <c r="AG2" s="17" t="s">
        <v>0</v>
      </c>
      <c r="AH2" s="17" t="s">
        <v>0</v>
      </c>
      <c r="AI2" s="17" t="s">
        <v>0</v>
      </c>
      <c r="AJ2" s="22">
        <v>0.5</v>
      </c>
      <c r="AK2" s="22">
        <v>0</v>
      </c>
      <c r="AL2" s="22">
        <v>0</v>
      </c>
      <c r="AM2" s="18">
        <v>0</v>
      </c>
      <c r="AN2" s="17"/>
      <c r="AO2" s="17" t="s">
        <v>0</v>
      </c>
      <c r="AP2" s="17" t="s">
        <v>0</v>
      </c>
      <c r="AQ2" s="18" t="s">
        <v>1270</v>
      </c>
      <c r="AR2" s="18" t="s">
        <v>1270</v>
      </c>
      <c r="AS2" s="17" t="s">
        <v>0</v>
      </c>
      <c r="AT2" s="17" t="s">
        <v>0</v>
      </c>
      <c r="AU2" s="17" t="s">
        <v>0</v>
      </c>
      <c r="AV2" s="17" t="s">
        <v>0</v>
      </c>
      <c r="AW2" s="18">
        <v>0</v>
      </c>
      <c r="AX2" s="17">
        <v>0</v>
      </c>
      <c r="AY2" s="17" t="s">
        <v>0</v>
      </c>
      <c r="AZ2" s="17">
        <v>0</v>
      </c>
      <c r="BA2" s="17">
        <v>0</v>
      </c>
      <c r="BB2" s="17" t="s">
        <v>94</v>
      </c>
      <c r="BC2" s="17" t="s">
        <v>0</v>
      </c>
      <c r="BD2" s="17" t="s">
        <v>0</v>
      </c>
      <c r="BE2" s="17" t="s">
        <v>0</v>
      </c>
      <c r="BF2" s="17" t="s">
        <v>0</v>
      </c>
    </row>
    <row r="3" spans="1:58" ht="17.850000000000001" customHeight="1">
      <c r="A3" s="17" t="s">
        <v>260</v>
      </c>
      <c r="B3" s="17">
        <v>30092914</v>
      </c>
      <c r="C3" s="105" t="s">
        <v>406</v>
      </c>
      <c r="D3" s="17" t="s">
        <v>407</v>
      </c>
      <c r="E3" s="22" t="s">
        <v>408</v>
      </c>
      <c r="F3" s="19" t="s">
        <v>409</v>
      </c>
      <c r="G3" s="19" t="s">
        <v>74</v>
      </c>
      <c r="H3" s="17" t="s">
        <v>60</v>
      </c>
      <c r="I3" s="19" t="s">
        <v>76</v>
      </c>
      <c r="J3" s="17" t="s">
        <v>101</v>
      </c>
      <c r="K3" s="19" t="s">
        <v>63</v>
      </c>
      <c r="L3" s="17" t="s">
        <v>78</v>
      </c>
      <c r="M3" s="17" t="s">
        <v>60</v>
      </c>
      <c r="N3" s="17" t="s">
        <v>65</v>
      </c>
      <c r="O3" s="17">
        <v>581</v>
      </c>
      <c r="P3" s="17" t="s">
        <v>199</v>
      </c>
      <c r="Q3" s="37">
        <f>'[1]FEBE Academics 2024'!R5</f>
        <v>33015</v>
      </c>
      <c r="R3" s="38">
        <v>34</v>
      </c>
      <c r="S3" s="20">
        <f>EDATE(Q3,12*65)</f>
        <v>56756</v>
      </c>
      <c r="T3" s="17">
        <v>30010866</v>
      </c>
      <c r="U3" s="17" t="s">
        <v>265</v>
      </c>
      <c r="V3" s="17" t="s">
        <v>266</v>
      </c>
      <c r="W3" s="17" t="s">
        <v>267</v>
      </c>
      <c r="X3" s="22" t="s">
        <v>410</v>
      </c>
      <c r="Y3" s="23">
        <v>45736</v>
      </c>
      <c r="Z3" s="22" t="s">
        <v>0</v>
      </c>
      <c r="AA3" s="22" t="s">
        <v>0</v>
      </c>
      <c r="AB3" s="22" t="s">
        <v>0</v>
      </c>
      <c r="AC3" s="22" t="s">
        <v>0</v>
      </c>
      <c r="AD3" s="22" t="s">
        <v>0</v>
      </c>
      <c r="AE3" s="17" t="s">
        <v>0</v>
      </c>
      <c r="AF3" s="17" t="s">
        <v>0</v>
      </c>
      <c r="AG3" s="17" t="s">
        <v>0</v>
      </c>
      <c r="AH3" s="17" t="s">
        <v>0</v>
      </c>
      <c r="AI3" s="17" t="s">
        <v>0</v>
      </c>
      <c r="AJ3" s="22">
        <v>0.5</v>
      </c>
      <c r="AK3" s="22">
        <v>0</v>
      </c>
      <c r="AL3" s="22">
        <v>1</v>
      </c>
      <c r="AM3" s="22">
        <v>0</v>
      </c>
      <c r="AN3" s="22"/>
      <c r="AO3" s="17" t="s">
        <v>0</v>
      </c>
      <c r="AP3" s="17" t="s">
        <v>0</v>
      </c>
      <c r="AQ3" s="18" t="s">
        <v>1270</v>
      </c>
      <c r="AR3" s="18" t="s">
        <v>1270</v>
      </c>
      <c r="AS3" s="17" t="s">
        <v>0</v>
      </c>
      <c r="AT3" s="17" t="s">
        <v>0</v>
      </c>
      <c r="AU3" s="17" t="s">
        <v>0</v>
      </c>
      <c r="AV3" s="17" t="s">
        <v>0</v>
      </c>
      <c r="AW3" s="18">
        <v>0</v>
      </c>
      <c r="AX3" s="17">
        <v>0</v>
      </c>
      <c r="AY3" s="17" t="s">
        <v>0</v>
      </c>
      <c r="AZ3" s="17">
        <v>0</v>
      </c>
      <c r="BA3" s="17">
        <v>4</v>
      </c>
      <c r="BB3" s="17" t="s">
        <v>94</v>
      </c>
      <c r="BC3" s="17" t="s">
        <v>0</v>
      </c>
      <c r="BD3" s="17" t="s">
        <v>0</v>
      </c>
      <c r="BE3" s="17" t="s">
        <v>0</v>
      </c>
      <c r="BF3" s="17" t="s">
        <v>0</v>
      </c>
    </row>
    <row r="4" spans="1:58" s="26" customFormat="1" ht="17.850000000000001" customHeight="1">
      <c r="A4" s="17" t="s">
        <v>125</v>
      </c>
      <c r="B4" s="17">
        <v>30108716</v>
      </c>
      <c r="C4" s="18" t="s">
        <v>126</v>
      </c>
      <c r="D4" s="17" t="s">
        <v>127</v>
      </c>
      <c r="E4" s="22" t="s">
        <v>128</v>
      </c>
      <c r="F4" s="19" t="s">
        <v>66</v>
      </c>
      <c r="G4" s="19" t="s">
        <v>80</v>
      </c>
      <c r="H4" s="17" t="s">
        <v>102</v>
      </c>
      <c r="I4" s="19" t="s">
        <v>76</v>
      </c>
      <c r="J4" s="17" t="s">
        <v>62</v>
      </c>
      <c r="K4" s="19" t="s">
        <v>63</v>
      </c>
      <c r="L4" s="17" t="s">
        <v>78</v>
      </c>
      <c r="M4" s="17" t="s">
        <v>112</v>
      </c>
      <c r="N4" s="17" t="s">
        <v>129</v>
      </c>
      <c r="O4" s="17">
        <v>125</v>
      </c>
      <c r="P4" s="17" t="s">
        <v>130</v>
      </c>
      <c r="Q4" s="37">
        <f>'[1]FEBE Academics 2024'!R6</f>
        <v>25679</v>
      </c>
      <c r="R4" s="38">
        <v>54</v>
      </c>
      <c r="S4" s="20">
        <f>EDATE(Q4,12*65)</f>
        <v>49420</v>
      </c>
      <c r="T4" s="17">
        <v>30101611</v>
      </c>
      <c r="U4" s="17" t="s">
        <v>105</v>
      </c>
      <c r="V4" s="17" t="s">
        <v>76</v>
      </c>
      <c r="W4" s="17" t="s">
        <v>131</v>
      </c>
      <c r="X4" s="22" t="s">
        <v>132</v>
      </c>
      <c r="Y4" s="23">
        <v>45856</v>
      </c>
      <c r="Z4" s="22" t="s">
        <v>133</v>
      </c>
      <c r="AA4" s="22" t="s">
        <v>133</v>
      </c>
      <c r="AB4" s="22" t="s">
        <v>133</v>
      </c>
      <c r="AC4" s="22" t="s">
        <v>133</v>
      </c>
      <c r="AD4" s="22" t="s">
        <v>133</v>
      </c>
      <c r="AE4" s="22" t="s">
        <v>133</v>
      </c>
      <c r="AF4" s="17" t="s">
        <v>0</v>
      </c>
      <c r="AG4" s="17" t="s">
        <v>0</v>
      </c>
      <c r="AH4" s="17" t="s">
        <v>0</v>
      </c>
      <c r="AI4" s="17" t="s">
        <v>0</v>
      </c>
      <c r="AJ4" s="22">
        <v>1</v>
      </c>
      <c r="AK4" s="22">
        <v>0</v>
      </c>
      <c r="AL4" s="22">
        <v>0</v>
      </c>
      <c r="AM4" s="43">
        <f>0.167+0.5</f>
        <v>0.66700000000000004</v>
      </c>
      <c r="AN4" s="22">
        <v>0.22220000000000001</v>
      </c>
      <c r="AO4" s="17"/>
      <c r="AP4" s="17" t="s">
        <v>0</v>
      </c>
      <c r="AQ4" s="18" t="s">
        <v>1270</v>
      </c>
      <c r="AR4" s="18"/>
      <c r="AS4" s="17" t="s">
        <v>0</v>
      </c>
      <c r="AT4" s="17" t="s">
        <v>0</v>
      </c>
      <c r="AU4" s="17" t="s">
        <v>0</v>
      </c>
      <c r="AV4" s="17" t="s">
        <v>0</v>
      </c>
      <c r="AW4" s="18">
        <v>9</v>
      </c>
      <c r="AX4" s="17">
        <v>6</v>
      </c>
      <c r="AY4" s="17" t="s">
        <v>0</v>
      </c>
      <c r="AZ4" s="17">
        <v>9</v>
      </c>
      <c r="BA4" s="17">
        <v>9</v>
      </c>
      <c r="BB4" s="40" t="s">
        <v>134</v>
      </c>
      <c r="BC4" s="17" t="s">
        <v>0</v>
      </c>
      <c r="BD4" s="17" t="s">
        <v>0</v>
      </c>
      <c r="BE4" s="17" t="s">
        <v>0</v>
      </c>
      <c r="BF4" s="17" t="s">
        <v>0</v>
      </c>
    </row>
    <row r="5" spans="1:58" ht="17.850000000000001" customHeight="1">
      <c r="A5" s="17" t="s">
        <v>69</v>
      </c>
      <c r="B5" s="17">
        <v>30000294</v>
      </c>
      <c r="C5" s="18" t="s">
        <v>784</v>
      </c>
      <c r="D5" s="17" t="s">
        <v>785</v>
      </c>
      <c r="E5" s="22" t="s">
        <v>82</v>
      </c>
      <c r="F5" s="19" t="s">
        <v>81</v>
      </c>
      <c r="G5" s="19" t="s">
        <v>105</v>
      </c>
      <c r="H5" s="17" t="s">
        <v>169</v>
      </c>
      <c r="I5" s="19" t="s">
        <v>76</v>
      </c>
      <c r="J5" s="17" t="s">
        <v>101</v>
      </c>
      <c r="K5" s="19" t="s">
        <v>63</v>
      </c>
      <c r="L5" s="17" t="s">
        <v>78</v>
      </c>
      <c r="M5" s="17" t="s">
        <v>777</v>
      </c>
      <c r="N5" s="17" t="s">
        <v>65</v>
      </c>
      <c r="O5" s="17">
        <v>580</v>
      </c>
      <c r="P5" s="17" t="s">
        <v>79</v>
      </c>
      <c r="Q5" s="37">
        <f>'[1]FEBE Academics 2024'!R7</f>
        <v>25711</v>
      </c>
      <c r="R5" s="38">
        <v>54</v>
      </c>
      <c r="S5" s="20">
        <f>EDATE(Q5,12*65)</f>
        <v>49452</v>
      </c>
      <c r="T5" s="17">
        <v>30082157</v>
      </c>
      <c r="U5" s="17" t="s">
        <v>105</v>
      </c>
      <c r="V5" s="17" t="s">
        <v>171</v>
      </c>
      <c r="W5" s="17" t="s">
        <v>172</v>
      </c>
      <c r="X5" s="22" t="s">
        <v>113</v>
      </c>
      <c r="Y5" s="23">
        <v>45757</v>
      </c>
      <c r="Z5" s="34" t="s">
        <v>0</v>
      </c>
      <c r="AA5" s="34" t="s">
        <v>0</v>
      </c>
      <c r="AB5" s="34" t="s">
        <v>0</v>
      </c>
      <c r="AC5" s="34" t="s">
        <v>0</v>
      </c>
      <c r="AD5" s="34" t="s">
        <v>0</v>
      </c>
      <c r="AE5" s="18" t="s">
        <v>0</v>
      </c>
      <c r="AF5" s="18" t="s">
        <v>0</v>
      </c>
      <c r="AG5" s="18" t="s">
        <v>0</v>
      </c>
      <c r="AH5" s="55" t="s">
        <v>786</v>
      </c>
      <c r="AI5" s="17" t="s">
        <v>0</v>
      </c>
      <c r="AJ5" s="22">
        <v>1</v>
      </c>
      <c r="AK5" s="36">
        <v>0.67</v>
      </c>
      <c r="AL5" s="22">
        <v>0.33</v>
      </c>
      <c r="AM5" s="126">
        <f>0.3333+0.1667+0.3333+0.3333+0.3333+0.25</f>
        <v>1.7498999999999998</v>
      </c>
      <c r="AN5" s="131">
        <v>0.83339999999999992</v>
      </c>
      <c r="AO5" s="17" t="s">
        <v>208</v>
      </c>
      <c r="AP5" s="17" t="s">
        <v>0</v>
      </c>
      <c r="AQ5" s="208" t="s">
        <v>275</v>
      </c>
      <c r="AR5" s="66" t="s">
        <v>275</v>
      </c>
      <c r="AS5" s="18" t="s">
        <v>0</v>
      </c>
      <c r="AT5" s="18" t="s">
        <v>0</v>
      </c>
      <c r="AU5" s="18" t="s">
        <v>0</v>
      </c>
      <c r="AV5" s="18">
        <v>149</v>
      </c>
      <c r="AW5" s="18">
        <v>6</v>
      </c>
      <c r="AX5" s="17">
        <v>3</v>
      </c>
      <c r="AY5" s="17">
        <v>6</v>
      </c>
      <c r="AZ5" s="17">
        <v>6</v>
      </c>
      <c r="BA5" s="17">
        <v>7</v>
      </c>
      <c r="BB5" s="18" t="s">
        <v>787</v>
      </c>
      <c r="BC5" s="18">
        <v>3</v>
      </c>
      <c r="BD5" s="18">
        <v>1</v>
      </c>
      <c r="BE5" s="18">
        <v>17</v>
      </c>
      <c r="BF5" s="18">
        <v>1</v>
      </c>
    </row>
    <row r="6" spans="1:58" ht="17.850000000000001" customHeight="1">
      <c r="A6" s="27" t="s">
        <v>69</v>
      </c>
      <c r="B6" s="27">
        <v>30000297</v>
      </c>
      <c r="C6" s="27" t="s">
        <v>874</v>
      </c>
      <c r="D6" s="27" t="s">
        <v>875</v>
      </c>
      <c r="E6" s="27" t="s">
        <v>82</v>
      </c>
      <c r="F6" s="29" t="s">
        <v>76</v>
      </c>
      <c r="G6" s="29" t="s">
        <v>74</v>
      </c>
      <c r="H6" s="27" t="s">
        <v>60</v>
      </c>
      <c r="I6" s="29" t="s">
        <v>76</v>
      </c>
      <c r="J6" s="27" t="s">
        <v>62</v>
      </c>
      <c r="K6" s="29" t="s">
        <v>63</v>
      </c>
      <c r="L6" s="27" t="s">
        <v>64</v>
      </c>
      <c r="M6" s="27" t="s">
        <v>140</v>
      </c>
      <c r="N6" s="27" t="s">
        <v>65</v>
      </c>
      <c r="O6" s="27">
        <v>2020</v>
      </c>
      <c r="P6" s="27" t="s">
        <v>876</v>
      </c>
      <c r="Q6" s="108">
        <v>28821</v>
      </c>
      <c r="R6" s="31">
        <f ca="1">YEARFRAC(Q6,TODAY())</f>
        <v>47.68888888888889</v>
      </c>
      <c r="S6" s="30">
        <f>EDATE(Q6,12*65)</f>
        <v>52562</v>
      </c>
      <c r="T6" s="27">
        <v>30000294</v>
      </c>
      <c r="U6" s="27" t="s">
        <v>105</v>
      </c>
      <c r="V6" s="27" t="s">
        <v>81</v>
      </c>
      <c r="W6" s="27" t="s">
        <v>82</v>
      </c>
      <c r="X6" s="27" t="s">
        <v>83</v>
      </c>
      <c r="Y6" s="42">
        <v>45292</v>
      </c>
      <c r="Z6" s="27"/>
      <c r="AA6" s="27"/>
      <c r="AB6" s="27"/>
      <c r="AC6" s="27"/>
      <c r="AD6" s="27"/>
      <c r="AE6" s="27"/>
      <c r="AF6" s="27"/>
      <c r="AG6" s="27"/>
      <c r="AH6" s="27"/>
      <c r="AI6" s="27"/>
      <c r="AJ6" s="27"/>
      <c r="AK6" s="27"/>
      <c r="AL6" s="27"/>
      <c r="AM6" s="27"/>
      <c r="AN6" s="17"/>
      <c r="AO6" s="27"/>
      <c r="AP6" s="27"/>
      <c r="AQ6" s="18" t="s">
        <v>1270</v>
      </c>
      <c r="AR6" s="18"/>
      <c r="AS6" s="27"/>
      <c r="AT6" s="27"/>
      <c r="AU6" s="27"/>
      <c r="AV6" s="27"/>
      <c r="AW6" s="27"/>
      <c r="AX6" s="27"/>
      <c r="AY6" s="27"/>
      <c r="AZ6" s="27"/>
      <c r="BA6" s="27"/>
      <c r="BB6" s="27"/>
      <c r="BC6" s="27"/>
      <c r="BD6" s="27"/>
      <c r="BE6" s="27"/>
      <c r="BF6" s="27"/>
    </row>
    <row r="7" spans="1:58" s="26" customFormat="1" ht="17.850000000000001" customHeight="1">
      <c r="A7" s="27" t="s">
        <v>135</v>
      </c>
      <c r="B7" s="27">
        <v>30097329</v>
      </c>
      <c r="C7" s="35" t="s">
        <v>285</v>
      </c>
      <c r="D7" s="27" t="s">
        <v>286</v>
      </c>
      <c r="E7" s="27" t="s">
        <v>287</v>
      </c>
      <c r="F7" s="29" t="s">
        <v>271</v>
      </c>
      <c r="G7" s="29" t="s">
        <v>59</v>
      </c>
      <c r="H7" s="27" t="s">
        <v>75</v>
      </c>
      <c r="I7" s="29" t="s">
        <v>61</v>
      </c>
      <c r="J7" s="27" t="s">
        <v>62</v>
      </c>
      <c r="K7" s="29" t="s">
        <v>120</v>
      </c>
      <c r="L7" s="27" t="s">
        <v>78</v>
      </c>
      <c r="M7" s="27" t="s">
        <v>288</v>
      </c>
      <c r="N7" s="27" t="s">
        <v>129</v>
      </c>
      <c r="O7" s="27"/>
      <c r="P7" s="27"/>
      <c r="Q7" s="44">
        <v>30181</v>
      </c>
      <c r="R7" s="27"/>
      <c r="S7" s="27"/>
      <c r="T7" s="27"/>
      <c r="U7" s="27" t="s">
        <v>59</v>
      </c>
      <c r="V7" s="27" t="s">
        <v>99</v>
      </c>
      <c r="W7" s="27" t="s">
        <v>141</v>
      </c>
      <c r="X7" s="70" t="s">
        <v>214</v>
      </c>
      <c r="Y7" s="42">
        <v>43101</v>
      </c>
      <c r="Z7" s="27"/>
      <c r="AA7" s="27"/>
      <c r="AB7" s="27"/>
      <c r="AC7" s="27"/>
      <c r="AD7" s="27"/>
      <c r="AE7" s="27"/>
      <c r="AF7" s="27"/>
      <c r="AG7" s="27"/>
      <c r="AH7" s="27"/>
      <c r="AI7" s="27"/>
      <c r="AJ7" s="27"/>
      <c r="AK7" s="27"/>
      <c r="AL7" s="27"/>
      <c r="AM7" s="27"/>
      <c r="AN7" s="17"/>
      <c r="AO7" s="27"/>
      <c r="AP7" s="27"/>
      <c r="AQ7" s="62"/>
      <c r="AR7" s="18" t="s">
        <v>1270</v>
      </c>
      <c r="AS7" s="27"/>
      <c r="AT7" s="27"/>
      <c r="AU7" s="27"/>
      <c r="AV7" s="27"/>
      <c r="AW7" s="27"/>
      <c r="AX7" s="27"/>
      <c r="AY7" s="27"/>
      <c r="AZ7" s="27"/>
      <c r="BA7" s="27"/>
      <c r="BB7" s="27"/>
      <c r="BC7" s="27"/>
      <c r="BD7" s="27"/>
      <c r="BE7" s="27"/>
      <c r="BF7" s="27"/>
    </row>
    <row r="8" spans="1:58" ht="17.850000000000001" customHeight="1">
      <c r="A8" s="39" t="s">
        <v>95</v>
      </c>
      <c r="B8" s="39">
        <v>30000404</v>
      </c>
      <c r="C8" s="17" t="s">
        <v>1198</v>
      </c>
      <c r="D8" s="39" t="s">
        <v>1199</v>
      </c>
      <c r="E8" s="39" t="s">
        <v>1200</v>
      </c>
      <c r="F8" s="94" t="s">
        <v>1201</v>
      </c>
      <c r="G8" s="94" t="s">
        <v>74</v>
      </c>
      <c r="H8" s="39" t="s">
        <v>60</v>
      </c>
      <c r="I8" s="94" t="s">
        <v>76</v>
      </c>
      <c r="J8" s="39" t="s">
        <v>101</v>
      </c>
      <c r="K8" s="94" t="s">
        <v>1202</v>
      </c>
      <c r="L8" s="39" t="s">
        <v>78</v>
      </c>
      <c r="M8" s="39" t="s">
        <v>60</v>
      </c>
      <c r="N8" s="39" t="s">
        <v>65</v>
      </c>
      <c r="O8" s="39">
        <v>2410</v>
      </c>
      <c r="P8" s="39" t="s">
        <v>514</v>
      </c>
      <c r="Q8" s="85">
        <f>'[1]FEBE Academics 2024'!R8</f>
        <v>21819</v>
      </c>
      <c r="R8" s="86">
        <v>65</v>
      </c>
      <c r="S8" s="85">
        <f>EDATE(Q8,12*65)</f>
        <v>45561</v>
      </c>
      <c r="T8" s="39">
        <v>30110521</v>
      </c>
      <c r="U8" s="39" t="s">
        <v>105</v>
      </c>
      <c r="V8" s="39" t="s">
        <v>106</v>
      </c>
      <c r="W8" s="39" t="s">
        <v>107</v>
      </c>
      <c r="X8" s="43" t="s">
        <v>328</v>
      </c>
      <c r="Y8" s="87">
        <v>35765</v>
      </c>
      <c r="Z8" s="43" t="s">
        <v>0</v>
      </c>
      <c r="AA8" s="43" t="s">
        <v>0</v>
      </c>
      <c r="AB8" s="43" t="s">
        <v>0</v>
      </c>
      <c r="AC8" s="43" t="s">
        <v>0</v>
      </c>
      <c r="AD8" s="43" t="s">
        <v>0</v>
      </c>
      <c r="AE8" s="39" t="s">
        <v>0</v>
      </c>
      <c r="AF8" s="39" t="s">
        <v>0</v>
      </c>
      <c r="AG8" s="39" t="s">
        <v>0</v>
      </c>
      <c r="AH8" s="82" t="s">
        <v>0</v>
      </c>
      <c r="AI8" s="39" t="s">
        <v>0</v>
      </c>
      <c r="AJ8" s="22"/>
      <c r="AK8" s="43">
        <v>0</v>
      </c>
      <c r="AL8" s="43">
        <v>0</v>
      </c>
      <c r="AM8" s="32">
        <v>0</v>
      </c>
      <c r="AN8" s="22"/>
      <c r="AO8" s="39" t="s">
        <v>0</v>
      </c>
      <c r="AP8" s="39" t="s">
        <v>0</v>
      </c>
      <c r="AQ8" s="17"/>
      <c r="AR8" s="18" t="s">
        <v>1270</v>
      </c>
      <c r="AS8" s="39" t="s">
        <v>0</v>
      </c>
      <c r="AT8" s="39" t="s">
        <v>0</v>
      </c>
      <c r="AU8" s="39" t="s">
        <v>0</v>
      </c>
      <c r="AV8" s="39" t="s">
        <v>0</v>
      </c>
      <c r="AW8" s="39" t="s">
        <v>0</v>
      </c>
      <c r="AX8" s="17">
        <v>0</v>
      </c>
      <c r="AY8" s="17" t="s">
        <v>0</v>
      </c>
      <c r="AZ8" s="17" t="s">
        <v>0</v>
      </c>
      <c r="BA8" s="17">
        <v>0</v>
      </c>
      <c r="BB8" s="39" t="s">
        <v>0</v>
      </c>
      <c r="BC8" s="39" t="s">
        <v>0</v>
      </c>
      <c r="BD8" s="39" t="s">
        <v>0</v>
      </c>
      <c r="BE8" s="39" t="s">
        <v>0</v>
      </c>
      <c r="BF8" s="39" t="s">
        <v>0</v>
      </c>
    </row>
    <row r="9" spans="1:58" s="47" customFormat="1" ht="17.850000000000001" customHeight="1">
      <c r="A9" s="17" t="s">
        <v>69</v>
      </c>
      <c r="B9" s="17">
        <v>30096085</v>
      </c>
      <c r="C9" s="18" t="s">
        <v>109</v>
      </c>
      <c r="D9" s="17" t="s">
        <v>110</v>
      </c>
      <c r="E9" s="22" t="s">
        <v>111</v>
      </c>
      <c r="F9" s="19" t="s">
        <v>66</v>
      </c>
      <c r="G9" s="19" t="s">
        <v>80</v>
      </c>
      <c r="H9" s="17" t="s">
        <v>102</v>
      </c>
      <c r="I9" s="19" t="s">
        <v>76</v>
      </c>
      <c r="J9" s="17" t="s">
        <v>101</v>
      </c>
      <c r="K9" s="19" t="s">
        <v>63</v>
      </c>
      <c r="L9" s="17" t="s">
        <v>78</v>
      </c>
      <c r="M9" s="17" t="s">
        <v>112</v>
      </c>
      <c r="N9" s="17" t="s">
        <v>103</v>
      </c>
      <c r="O9" s="17">
        <v>580</v>
      </c>
      <c r="P9" s="17" t="s">
        <v>79</v>
      </c>
      <c r="Q9" s="37">
        <f>'[1]FEBE Academics 2024'!R9</f>
        <v>28685</v>
      </c>
      <c r="R9" s="38">
        <v>46</v>
      </c>
      <c r="S9" s="20">
        <f>EDATE(Q9,12*65)</f>
        <v>52426</v>
      </c>
      <c r="T9" s="17">
        <v>30000294</v>
      </c>
      <c r="U9" s="17" t="s">
        <v>80</v>
      </c>
      <c r="V9" s="17" t="s">
        <v>81</v>
      </c>
      <c r="W9" s="17" t="s">
        <v>82</v>
      </c>
      <c r="X9" s="22" t="s">
        <v>113</v>
      </c>
      <c r="Y9" s="23">
        <v>45884</v>
      </c>
      <c r="Z9" s="22" t="s">
        <v>0</v>
      </c>
      <c r="AA9" s="22" t="s">
        <v>0</v>
      </c>
      <c r="AB9" s="22" t="s">
        <v>0</v>
      </c>
      <c r="AC9" s="22" t="s">
        <v>0</v>
      </c>
      <c r="AD9" s="22" t="s">
        <v>0</v>
      </c>
      <c r="AE9" s="17" t="s">
        <v>0</v>
      </c>
      <c r="AF9" s="17" t="s">
        <v>0</v>
      </c>
      <c r="AG9" s="17" t="s">
        <v>0</v>
      </c>
      <c r="AH9" s="17" t="s">
        <v>0</v>
      </c>
      <c r="AI9" s="17" t="s">
        <v>0</v>
      </c>
      <c r="AJ9" s="22">
        <v>1</v>
      </c>
      <c r="AK9" s="36">
        <v>1.28</v>
      </c>
      <c r="AL9" s="22">
        <v>1.08</v>
      </c>
      <c r="AM9" s="39">
        <f>0.3333+0.3333+0.3333+0.3333+0.3333+0.25+0.3333+0.3333+0.3333+0.3333+0.25+0.1667+0.25</f>
        <v>3.9163999999999999</v>
      </c>
      <c r="AN9" s="17">
        <v>1.9998999999999998</v>
      </c>
      <c r="AO9" s="17" t="s">
        <v>0</v>
      </c>
      <c r="AP9" s="17" t="s">
        <v>0</v>
      </c>
      <c r="AQ9" s="18" t="s">
        <v>1270</v>
      </c>
      <c r="AR9" s="18"/>
      <c r="AS9" s="17" t="s">
        <v>0</v>
      </c>
      <c r="AT9" s="17" t="s">
        <v>0</v>
      </c>
      <c r="AU9" s="17" t="s">
        <v>0</v>
      </c>
      <c r="AV9" s="17" t="s">
        <v>0</v>
      </c>
      <c r="AW9" s="18">
        <v>52</v>
      </c>
      <c r="AX9" s="17">
        <v>10</v>
      </c>
      <c r="AY9" s="17" t="s">
        <v>0</v>
      </c>
      <c r="AZ9" s="17">
        <v>8</v>
      </c>
      <c r="BA9" s="17">
        <v>8</v>
      </c>
      <c r="BB9" s="40" t="s">
        <v>114</v>
      </c>
      <c r="BC9" s="17" t="s">
        <v>0</v>
      </c>
      <c r="BD9" s="17" t="s">
        <v>0</v>
      </c>
      <c r="BE9" s="17" t="s">
        <v>0</v>
      </c>
      <c r="BF9" s="17" t="s">
        <v>0</v>
      </c>
    </row>
    <row r="10" spans="1:58" ht="17.850000000000001" customHeight="1">
      <c r="A10" s="17" t="s">
        <v>125</v>
      </c>
      <c r="B10" s="17">
        <v>30104546</v>
      </c>
      <c r="C10" s="17" t="s">
        <v>792</v>
      </c>
      <c r="D10" s="17" t="s">
        <v>793</v>
      </c>
      <c r="E10" s="22" t="s">
        <v>794</v>
      </c>
      <c r="F10" s="19" t="s">
        <v>76</v>
      </c>
      <c r="G10" s="19" t="s">
        <v>59</v>
      </c>
      <c r="H10" s="17" t="s">
        <v>60</v>
      </c>
      <c r="I10" s="19" t="s">
        <v>61</v>
      </c>
      <c r="J10" s="17" t="s">
        <v>62</v>
      </c>
      <c r="K10" s="19" t="s">
        <v>120</v>
      </c>
      <c r="L10" s="17" t="s">
        <v>78</v>
      </c>
      <c r="M10" s="17" t="s">
        <v>60</v>
      </c>
      <c r="N10" s="17" t="s">
        <v>451</v>
      </c>
      <c r="O10" s="17" t="s">
        <v>0</v>
      </c>
      <c r="P10" s="17" t="s">
        <v>0</v>
      </c>
      <c r="Q10" s="37">
        <f>'[1]FEBE Academics 2024'!R10</f>
        <v>25682</v>
      </c>
      <c r="R10" s="38">
        <v>54</v>
      </c>
      <c r="S10" s="37">
        <f>EDATE(Q10,12*65)</f>
        <v>49423</v>
      </c>
      <c r="T10" s="17">
        <v>30101611</v>
      </c>
      <c r="U10" s="17" t="s">
        <v>105</v>
      </c>
      <c r="V10" s="17" t="s">
        <v>76</v>
      </c>
      <c r="W10" s="17" t="s">
        <v>131</v>
      </c>
      <c r="X10" s="22" t="s">
        <v>795</v>
      </c>
      <c r="Y10" s="23">
        <v>45767</v>
      </c>
      <c r="Z10" s="101" t="s">
        <v>796</v>
      </c>
      <c r="AA10" s="101">
        <v>2020</v>
      </c>
      <c r="AB10" s="22">
        <v>2024</v>
      </c>
      <c r="AC10" s="22" t="s">
        <v>770</v>
      </c>
      <c r="AD10" s="22" t="s">
        <v>238</v>
      </c>
      <c r="AE10" s="17" t="s">
        <v>0</v>
      </c>
      <c r="AF10" s="17" t="s">
        <v>0</v>
      </c>
      <c r="AG10" s="17" t="s">
        <v>0</v>
      </c>
      <c r="AH10" s="17" t="s">
        <v>0</v>
      </c>
      <c r="AI10" s="17" t="s">
        <v>0</v>
      </c>
      <c r="AJ10" s="22">
        <v>0.5</v>
      </c>
      <c r="AK10" s="22">
        <v>0</v>
      </c>
      <c r="AL10" s="22">
        <v>0</v>
      </c>
      <c r="AM10" s="25">
        <v>0</v>
      </c>
      <c r="AN10" s="25"/>
      <c r="AO10" s="17" t="s">
        <v>0</v>
      </c>
      <c r="AP10" s="17" t="s">
        <v>0</v>
      </c>
      <c r="AQ10" s="18" t="s">
        <v>1270</v>
      </c>
      <c r="AR10" s="18"/>
      <c r="AS10" s="17" t="s">
        <v>0</v>
      </c>
      <c r="AT10" s="17" t="s">
        <v>0</v>
      </c>
      <c r="AU10" s="17" t="s">
        <v>0</v>
      </c>
      <c r="AV10" s="17" t="s">
        <v>0</v>
      </c>
      <c r="AW10" s="39">
        <v>0</v>
      </c>
      <c r="AX10" s="107">
        <v>0</v>
      </c>
      <c r="AY10" s="17" t="s">
        <v>0</v>
      </c>
      <c r="AZ10" s="17">
        <v>0</v>
      </c>
      <c r="BA10" s="17">
        <v>0</v>
      </c>
      <c r="BB10" s="17" t="s">
        <v>94</v>
      </c>
      <c r="BC10" s="17" t="s">
        <v>0</v>
      </c>
      <c r="BD10" s="17" t="s">
        <v>0</v>
      </c>
      <c r="BE10" s="17" t="s">
        <v>0</v>
      </c>
      <c r="BF10" s="17" t="s">
        <v>0</v>
      </c>
    </row>
    <row r="11" spans="1:58" ht="17.850000000000001" customHeight="1">
      <c r="A11" s="17" t="s">
        <v>69</v>
      </c>
      <c r="B11" s="17">
        <v>30094413</v>
      </c>
      <c r="C11" s="17" t="s">
        <v>149</v>
      </c>
      <c r="D11" s="17" t="s">
        <v>150</v>
      </c>
      <c r="E11" s="22" t="s">
        <v>151</v>
      </c>
      <c r="F11" s="19" t="s">
        <v>58</v>
      </c>
      <c r="G11" s="19" t="s">
        <v>80</v>
      </c>
      <c r="H11" s="17" t="s">
        <v>60</v>
      </c>
      <c r="I11" s="19" t="s">
        <v>76</v>
      </c>
      <c r="J11" s="17" t="s">
        <v>62</v>
      </c>
      <c r="K11" s="19" t="s">
        <v>63</v>
      </c>
      <c r="L11" s="17" t="s">
        <v>64</v>
      </c>
      <c r="M11" s="17" t="s">
        <v>112</v>
      </c>
      <c r="N11" s="17" t="s">
        <v>152</v>
      </c>
      <c r="O11" s="17">
        <v>2080</v>
      </c>
      <c r="P11" s="17" t="s">
        <v>153</v>
      </c>
      <c r="Q11" s="37">
        <f>'[1]FEBE Academics 2024'!R11</f>
        <v>31480</v>
      </c>
      <c r="R11" s="38">
        <v>39</v>
      </c>
      <c r="S11" s="20">
        <f>EDATE(Q11,12*65)</f>
        <v>55221</v>
      </c>
      <c r="T11" s="17">
        <v>30000294</v>
      </c>
      <c r="U11" s="17" t="s">
        <v>80</v>
      </c>
      <c r="V11" s="17" t="s">
        <v>81</v>
      </c>
      <c r="W11" s="17" t="s">
        <v>82</v>
      </c>
      <c r="X11" s="22" t="s">
        <v>154</v>
      </c>
      <c r="Y11" s="23">
        <v>45980</v>
      </c>
      <c r="Z11" s="22" t="s">
        <v>0</v>
      </c>
      <c r="AA11" s="22" t="s">
        <v>0</v>
      </c>
      <c r="AB11" s="22" t="s">
        <v>0</v>
      </c>
      <c r="AC11" s="22" t="s">
        <v>0</v>
      </c>
      <c r="AD11" s="22" t="s">
        <v>0</v>
      </c>
      <c r="AE11" s="17" t="s">
        <v>0</v>
      </c>
      <c r="AF11" s="17" t="s">
        <v>0</v>
      </c>
      <c r="AG11" s="17" t="s">
        <v>0</v>
      </c>
      <c r="AH11" s="17" t="s">
        <v>0</v>
      </c>
      <c r="AI11" s="17" t="s">
        <v>0</v>
      </c>
      <c r="AJ11" s="22">
        <v>0.5</v>
      </c>
      <c r="AK11" s="36">
        <v>0.17</v>
      </c>
      <c r="AL11" s="22">
        <v>0</v>
      </c>
      <c r="AM11" s="39">
        <f>0.1667+0.5</f>
        <v>0.66669999999999996</v>
      </c>
      <c r="AN11" s="17"/>
      <c r="AO11" s="17" t="s">
        <v>0</v>
      </c>
      <c r="AP11" s="17" t="s">
        <v>0</v>
      </c>
      <c r="AQ11" s="18" t="s">
        <v>1270</v>
      </c>
      <c r="AR11" s="18"/>
      <c r="AS11" s="17" t="s">
        <v>0</v>
      </c>
      <c r="AT11" s="17" t="s">
        <v>0</v>
      </c>
      <c r="AU11" s="17" t="s">
        <v>0</v>
      </c>
      <c r="AV11" s="17" t="s">
        <v>0</v>
      </c>
      <c r="AW11" s="18">
        <v>0</v>
      </c>
      <c r="AX11" s="17">
        <v>2</v>
      </c>
      <c r="AY11" s="17" t="s">
        <v>0</v>
      </c>
      <c r="AZ11" s="17">
        <v>4</v>
      </c>
      <c r="BA11" s="17">
        <v>4</v>
      </c>
      <c r="BB11" s="17" t="s">
        <v>94</v>
      </c>
      <c r="BC11" s="17" t="s">
        <v>0</v>
      </c>
      <c r="BD11" s="17" t="s">
        <v>0</v>
      </c>
      <c r="BE11" s="17" t="s">
        <v>0</v>
      </c>
      <c r="BF11" s="17" t="s">
        <v>0</v>
      </c>
    </row>
    <row r="12" spans="1:58" ht="17.850000000000001" customHeight="1">
      <c r="A12" s="27" t="s">
        <v>54</v>
      </c>
      <c r="B12" s="27">
        <v>30000654</v>
      </c>
      <c r="C12" s="27" t="s">
        <v>837</v>
      </c>
      <c r="D12" s="27" t="s">
        <v>838</v>
      </c>
      <c r="E12" s="27" t="s">
        <v>839</v>
      </c>
      <c r="F12" s="29" t="s">
        <v>840</v>
      </c>
      <c r="G12" s="29" t="s">
        <v>74</v>
      </c>
      <c r="H12" s="27" t="s">
        <v>60</v>
      </c>
      <c r="I12" s="29" t="s">
        <v>76</v>
      </c>
      <c r="J12" s="137" t="s">
        <v>101</v>
      </c>
      <c r="K12" s="29" t="s">
        <v>120</v>
      </c>
      <c r="L12" s="137" t="s">
        <v>78</v>
      </c>
      <c r="M12" s="137" t="s">
        <v>841</v>
      </c>
      <c r="N12" s="137" t="s">
        <v>65</v>
      </c>
      <c r="O12" s="137">
        <v>594</v>
      </c>
      <c r="P12" s="137" t="s">
        <v>170</v>
      </c>
      <c r="Q12" s="138">
        <v>23806</v>
      </c>
      <c r="R12" s="27">
        <f ca="1">DATEDIF(Q12, TODAY(), "Y")</f>
        <v>61</v>
      </c>
      <c r="S12" s="30">
        <f>EOMONTH(Q12, 65*12)</f>
        <v>47573</v>
      </c>
      <c r="T12" s="123">
        <v>30007204</v>
      </c>
      <c r="U12" s="137" t="s">
        <v>59</v>
      </c>
      <c r="V12" s="137" t="s">
        <v>66</v>
      </c>
      <c r="W12" s="137" t="s">
        <v>67</v>
      </c>
      <c r="X12" s="137" t="s">
        <v>842</v>
      </c>
      <c r="Y12" s="139">
        <v>31778</v>
      </c>
      <c r="Z12" s="27"/>
      <c r="AA12" s="17"/>
      <c r="AB12" s="17"/>
      <c r="AC12" s="17"/>
      <c r="AD12" s="17"/>
      <c r="AE12" s="17"/>
      <c r="AF12" s="17"/>
      <c r="AG12" s="17"/>
      <c r="AH12" s="17"/>
      <c r="AI12" s="17"/>
      <c r="AJ12" s="17">
        <v>0</v>
      </c>
      <c r="AK12" s="17">
        <v>0</v>
      </c>
      <c r="AL12" s="17">
        <v>0</v>
      </c>
      <c r="AM12" s="38">
        <v>0</v>
      </c>
      <c r="AN12" s="38"/>
      <c r="AO12" s="17"/>
      <c r="AP12" s="17"/>
      <c r="AQ12" s="18" t="s">
        <v>1270</v>
      </c>
      <c r="AR12" s="18"/>
      <c r="AS12" s="17"/>
      <c r="AT12" s="17"/>
      <c r="AU12" s="17"/>
      <c r="AV12" s="17"/>
      <c r="AW12" s="62"/>
      <c r="AX12" s="17">
        <v>0</v>
      </c>
      <c r="AY12" s="17"/>
      <c r="AZ12" s="17"/>
      <c r="BA12" s="17">
        <v>0</v>
      </c>
      <c r="BB12" s="17"/>
      <c r="BC12" s="17"/>
      <c r="BD12" s="17"/>
      <c r="BE12" s="17"/>
      <c r="BF12" s="17"/>
    </row>
    <row r="13" spans="1:58" ht="17.850000000000001" customHeight="1">
      <c r="A13" s="17" t="s">
        <v>69</v>
      </c>
      <c r="B13" s="17">
        <v>30093676</v>
      </c>
      <c r="C13" s="17" t="s">
        <v>244</v>
      </c>
      <c r="D13" s="17" t="s">
        <v>245</v>
      </c>
      <c r="E13" s="22" t="s">
        <v>246</v>
      </c>
      <c r="F13" s="19" t="s">
        <v>247</v>
      </c>
      <c r="G13" s="19" t="s">
        <v>80</v>
      </c>
      <c r="H13" s="17" t="s">
        <v>60</v>
      </c>
      <c r="I13" s="19" t="s">
        <v>76</v>
      </c>
      <c r="J13" s="17" t="s">
        <v>62</v>
      </c>
      <c r="K13" s="19" t="s">
        <v>120</v>
      </c>
      <c r="L13" s="17" t="s">
        <v>78</v>
      </c>
      <c r="M13" s="17" t="s">
        <v>60</v>
      </c>
      <c r="N13" s="17" t="s">
        <v>129</v>
      </c>
      <c r="O13" s="17" t="s">
        <v>0</v>
      </c>
      <c r="P13" s="17" t="s">
        <v>0</v>
      </c>
      <c r="Q13" s="37">
        <f>'[1]FEBE Academics 2024'!R13</f>
        <v>31190</v>
      </c>
      <c r="R13" s="38">
        <v>39</v>
      </c>
      <c r="S13" s="37">
        <f>EDATE(Q13,12*65)</f>
        <v>54931</v>
      </c>
      <c r="T13" s="17">
        <v>30000294</v>
      </c>
      <c r="U13" s="17" t="s">
        <v>80</v>
      </c>
      <c r="V13" s="17" t="s">
        <v>81</v>
      </c>
      <c r="W13" s="17" t="s">
        <v>82</v>
      </c>
      <c r="X13" s="22" t="s">
        <v>113</v>
      </c>
      <c r="Y13" s="23">
        <v>45887</v>
      </c>
      <c r="Z13" s="22" t="s">
        <v>0</v>
      </c>
      <c r="AA13" s="22" t="s">
        <v>0</v>
      </c>
      <c r="AB13" s="22" t="s">
        <v>0</v>
      </c>
      <c r="AC13" s="22" t="s">
        <v>0</v>
      </c>
      <c r="AD13" s="22" t="s">
        <v>0</v>
      </c>
      <c r="AE13" s="17" t="s">
        <v>0</v>
      </c>
      <c r="AF13" s="17" t="s">
        <v>0</v>
      </c>
      <c r="AG13" s="17" t="s">
        <v>0</v>
      </c>
      <c r="AH13" s="17" t="s">
        <v>0</v>
      </c>
      <c r="AI13" s="17" t="s">
        <v>0</v>
      </c>
      <c r="AJ13" s="22">
        <v>0.5</v>
      </c>
      <c r="AK13" s="36">
        <v>0.67</v>
      </c>
      <c r="AL13" s="22">
        <v>0</v>
      </c>
      <c r="AM13" s="55">
        <f>0.1667+0.05</f>
        <v>0.2167</v>
      </c>
      <c r="AN13" s="55">
        <v>0.45829999999999999</v>
      </c>
      <c r="AO13" s="17" t="s">
        <v>0</v>
      </c>
      <c r="AP13" s="17" t="s">
        <v>0</v>
      </c>
      <c r="AQ13" s="18" t="s">
        <v>1270</v>
      </c>
      <c r="AR13" s="18"/>
      <c r="AS13" s="17" t="s">
        <v>0</v>
      </c>
      <c r="AT13" s="17" t="s">
        <v>0</v>
      </c>
      <c r="AU13" s="17" t="s">
        <v>0</v>
      </c>
      <c r="AV13" s="17" t="s">
        <v>0</v>
      </c>
      <c r="AW13" s="39">
        <v>3</v>
      </c>
      <c r="AX13" s="17">
        <v>2</v>
      </c>
      <c r="AY13" s="17" t="s">
        <v>0</v>
      </c>
      <c r="AZ13" s="17">
        <v>4</v>
      </c>
      <c r="BA13" s="17">
        <v>4</v>
      </c>
      <c r="BB13" s="63" t="s">
        <v>248</v>
      </c>
      <c r="BC13" s="17" t="s">
        <v>0</v>
      </c>
      <c r="BD13" s="17" t="s">
        <v>0</v>
      </c>
      <c r="BE13" s="17" t="s">
        <v>0</v>
      </c>
      <c r="BF13" s="17" t="s">
        <v>0</v>
      </c>
    </row>
    <row r="14" spans="1:58" ht="17.850000000000001" customHeight="1">
      <c r="A14" s="17" t="s">
        <v>95</v>
      </c>
      <c r="B14" s="17">
        <v>300018630</v>
      </c>
      <c r="C14" s="17" t="s">
        <v>948</v>
      </c>
      <c r="D14" s="17" t="s">
        <v>949</v>
      </c>
      <c r="E14" s="32" t="s">
        <v>950</v>
      </c>
      <c r="F14" s="19" t="s">
        <v>951</v>
      </c>
      <c r="G14" s="19" t="s">
        <v>80</v>
      </c>
      <c r="H14" s="17" t="s">
        <v>952</v>
      </c>
      <c r="I14" s="19" t="s">
        <v>76</v>
      </c>
      <c r="J14" s="17" t="s">
        <v>62</v>
      </c>
      <c r="K14" s="19" t="s">
        <v>63</v>
      </c>
      <c r="L14" s="17" t="s">
        <v>78</v>
      </c>
      <c r="M14" s="17" t="s">
        <v>60</v>
      </c>
      <c r="N14" s="17" t="s">
        <v>129</v>
      </c>
      <c r="O14" s="17">
        <v>1012</v>
      </c>
      <c r="P14" s="17" t="s">
        <v>104</v>
      </c>
      <c r="Q14" s="37">
        <f>'[1]FEBE Academics 2024'!R14</f>
        <v>24181</v>
      </c>
      <c r="R14" s="38">
        <v>59</v>
      </c>
      <c r="S14" s="20">
        <f>EDATE(Q14,12*65)</f>
        <v>47922</v>
      </c>
      <c r="T14" s="17">
        <v>30110521</v>
      </c>
      <c r="U14" s="17" t="s">
        <v>105</v>
      </c>
      <c r="V14" s="17" t="s">
        <v>106</v>
      </c>
      <c r="W14" s="17" t="s">
        <v>107</v>
      </c>
      <c r="X14" s="22" t="s">
        <v>154</v>
      </c>
      <c r="Y14" s="23">
        <v>45984</v>
      </c>
      <c r="Z14" s="34" t="s">
        <v>0</v>
      </c>
      <c r="AA14" s="34" t="s">
        <v>0</v>
      </c>
      <c r="AB14" s="34" t="s">
        <v>0</v>
      </c>
      <c r="AC14" s="34" t="s">
        <v>0</v>
      </c>
      <c r="AD14" s="34" t="s">
        <v>0</v>
      </c>
      <c r="AE14" s="18" t="s">
        <v>0</v>
      </c>
      <c r="AF14" s="18" t="s">
        <v>0</v>
      </c>
      <c r="AG14" s="18" t="s">
        <v>0</v>
      </c>
      <c r="AH14" s="17" t="s">
        <v>0</v>
      </c>
      <c r="AI14" s="17" t="s">
        <v>0</v>
      </c>
      <c r="AJ14" s="22">
        <v>0.5</v>
      </c>
      <c r="AK14" s="22">
        <v>0</v>
      </c>
      <c r="AL14" s="22">
        <v>0.33</v>
      </c>
      <c r="AM14" s="32">
        <v>0</v>
      </c>
      <c r="AN14" s="22"/>
      <c r="AO14" s="17" t="s">
        <v>0</v>
      </c>
      <c r="AP14" s="17" t="s">
        <v>0</v>
      </c>
      <c r="AQ14" s="27" t="s">
        <v>1273</v>
      </c>
      <c r="AR14" s="18" t="s">
        <v>200</v>
      </c>
      <c r="AS14" s="18" t="s">
        <v>1271</v>
      </c>
      <c r="AT14" s="18" t="s">
        <v>0</v>
      </c>
      <c r="AU14" s="18" t="s">
        <v>0</v>
      </c>
      <c r="AV14" s="18">
        <v>65</v>
      </c>
      <c r="AW14" s="18">
        <v>0</v>
      </c>
      <c r="AX14" s="17">
        <v>6</v>
      </c>
      <c r="AY14" s="17">
        <v>3</v>
      </c>
      <c r="AZ14" s="17">
        <v>4</v>
      </c>
      <c r="BA14" s="17">
        <v>4</v>
      </c>
      <c r="BB14" s="18" t="s">
        <v>94</v>
      </c>
      <c r="BC14" s="18" t="s">
        <v>0</v>
      </c>
      <c r="BD14" s="18" t="s">
        <v>0</v>
      </c>
      <c r="BE14" s="18" t="s">
        <v>0</v>
      </c>
      <c r="BF14" s="18" t="s">
        <v>0</v>
      </c>
    </row>
    <row r="15" spans="1:58" ht="17.850000000000001" customHeight="1">
      <c r="A15" s="17" t="s">
        <v>877</v>
      </c>
      <c r="B15" s="17">
        <v>30000745</v>
      </c>
      <c r="C15" s="17" t="s">
        <v>878</v>
      </c>
      <c r="D15" s="17" t="s">
        <v>879</v>
      </c>
      <c r="E15" s="22" t="s">
        <v>880</v>
      </c>
      <c r="F15" s="19" t="s">
        <v>76</v>
      </c>
      <c r="G15" s="19" t="s">
        <v>105</v>
      </c>
      <c r="H15" s="17" t="s">
        <v>881</v>
      </c>
      <c r="I15" s="19" t="s">
        <v>76</v>
      </c>
      <c r="J15" s="17" t="s">
        <v>101</v>
      </c>
      <c r="K15" s="19" t="s">
        <v>63</v>
      </c>
      <c r="L15" s="17" t="s">
        <v>78</v>
      </c>
      <c r="M15" s="17" t="s">
        <v>777</v>
      </c>
      <c r="N15" s="17" t="s">
        <v>65</v>
      </c>
      <c r="O15" s="17">
        <v>125</v>
      </c>
      <c r="P15" s="17" t="s">
        <v>130</v>
      </c>
      <c r="Q15" s="37">
        <f>'[1]FEBE Academics 2024'!R15</f>
        <v>26670</v>
      </c>
      <c r="R15" s="38">
        <v>52</v>
      </c>
      <c r="S15" s="20">
        <f>EDATE(Q15,12*65)</f>
        <v>50411</v>
      </c>
      <c r="T15" s="17">
        <v>30082157</v>
      </c>
      <c r="U15" s="17" t="s">
        <v>105</v>
      </c>
      <c r="V15" s="17" t="s">
        <v>171</v>
      </c>
      <c r="W15" s="17" t="s">
        <v>172</v>
      </c>
      <c r="X15" s="22" t="s">
        <v>154</v>
      </c>
      <c r="Y15" s="23">
        <v>45736</v>
      </c>
      <c r="Z15" s="34" t="s">
        <v>0</v>
      </c>
      <c r="AA15" s="34" t="s">
        <v>0</v>
      </c>
      <c r="AB15" s="34" t="s">
        <v>0</v>
      </c>
      <c r="AC15" s="34" t="s">
        <v>0</v>
      </c>
      <c r="AD15" s="34" t="s">
        <v>0</v>
      </c>
      <c r="AE15" s="18" t="s">
        <v>0</v>
      </c>
      <c r="AF15" s="18" t="s">
        <v>0</v>
      </c>
      <c r="AG15" s="18" t="s">
        <v>0</v>
      </c>
      <c r="AH15" s="17" t="s">
        <v>0</v>
      </c>
      <c r="AI15" s="17" t="s">
        <v>0</v>
      </c>
      <c r="AJ15" s="22">
        <v>1.5</v>
      </c>
      <c r="AK15" s="22">
        <v>0</v>
      </c>
      <c r="AL15" s="22">
        <v>0</v>
      </c>
      <c r="AM15" s="22">
        <v>0</v>
      </c>
      <c r="AN15" s="22">
        <v>0.33329999999999999</v>
      </c>
      <c r="AO15" s="17" t="s">
        <v>208</v>
      </c>
      <c r="AP15" s="17" t="s">
        <v>0</v>
      </c>
      <c r="AQ15" s="18" t="s">
        <v>1270</v>
      </c>
      <c r="AR15" s="66" t="s">
        <v>275</v>
      </c>
      <c r="AS15" s="18" t="s">
        <v>0</v>
      </c>
      <c r="AT15" s="18" t="s">
        <v>0</v>
      </c>
      <c r="AU15" s="18" t="s">
        <v>0</v>
      </c>
      <c r="AV15" s="18">
        <v>131</v>
      </c>
      <c r="AW15" s="18">
        <v>3</v>
      </c>
      <c r="AX15" s="17">
        <v>0</v>
      </c>
      <c r="AY15" s="17">
        <v>7</v>
      </c>
      <c r="AZ15" s="17">
        <v>7</v>
      </c>
      <c r="BA15" s="17">
        <v>6</v>
      </c>
      <c r="BB15" s="18" t="s">
        <v>882</v>
      </c>
      <c r="BC15" s="18" t="s">
        <v>0</v>
      </c>
      <c r="BD15" s="18" t="s">
        <v>0</v>
      </c>
      <c r="BE15" s="18">
        <v>17</v>
      </c>
      <c r="BF15" s="18" t="s">
        <v>0</v>
      </c>
    </row>
    <row r="16" spans="1:58" ht="17.850000000000001" customHeight="1">
      <c r="A16" s="27" t="s">
        <v>54</v>
      </c>
      <c r="B16" s="27">
        <v>30103753</v>
      </c>
      <c r="C16" s="27" t="s">
        <v>625</v>
      </c>
      <c r="D16" s="27" t="s">
        <v>626</v>
      </c>
      <c r="E16" s="27" t="s">
        <v>627</v>
      </c>
      <c r="F16" s="29" t="s">
        <v>628</v>
      </c>
      <c r="G16" s="29" t="s">
        <v>80</v>
      </c>
      <c r="H16" s="27" t="s">
        <v>60</v>
      </c>
      <c r="I16" s="29" t="s">
        <v>76</v>
      </c>
      <c r="J16" s="27" t="s">
        <v>62</v>
      </c>
      <c r="K16" s="29" t="s">
        <v>63</v>
      </c>
      <c r="L16" s="27" t="s">
        <v>78</v>
      </c>
      <c r="M16" s="27" t="s">
        <v>112</v>
      </c>
      <c r="N16" s="27"/>
      <c r="O16" s="27" t="s">
        <v>311</v>
      </c>
      <c r="P16" s="27" t="s">
        <v>311</v>
      </c>
      <c r="Q16" s="89">
        <v>29429</v>
      </c>
      <c r="R16" s="27"/>
      <c r="S16" s="27"/>
      <c r="T16" s="27">
        <v>30007204</v>
      </c>
      <c r="U16" s="27" t="s">
        <v>59</v>
      </c>
      <c r="V16" s="27" t="s">
        <v>66</v>
      </c>
      <c r="W16" s="27" t="s">
        <v>67</v>
      </c>
      <c r="X16" s="27" t="s">
        <v>629</v>
      </c>
      <c r="Y16" s="27"/>
      <c r="Z16" s="27"/>
      <c r="AA16" s="62"/>
      <c r="AB16" s="62"/>
      <c r="AC16" s="62"/>
      <c r="AD16" s="62"/>
      <c r="AE16" s="62"/>
      <c r="AF16" s="62"/>
      <c r="AG16" s="62"/>
      <c r="AH16" s="62"/>
      <c r="AI16" s="62"/>
      <c r="AJ16" s="62">
        <v>0</v>
      </c>
      <c r="AK16" s="62">
        <v>0</v>
      </c>
      <c r="AL16" s="62">
        <v>0.17</v>
      </c>
      <c r="AM16" s="111">
        <v>0</v>
      </c>
      <c r="AN16" s="112">
        <v>2.8749000000000002</v>
      </c>
      <c r="AO16" s="62"/>
      <c r="AP16" s="62"/>
      <c r="AQ16" s="27" t="s">
        <v>1273</v>
      </c>
      <c r="AR16" s="18" t="s">
        <v>752</v>
      </c>
      <c r="AS16" s="62"/>
      <c r="AT16" s="62"/>
      <c r="AU16" s="62"/>
      <c r="AV16" s="62"/>
      <c r="AW16" s="62"/>
      <c r="AX16" s="17">
        <v>5</v>
      </c>
      <c r="AY16" s="17"/>
      <c r="AZ16" s="17"/>
      <c r="BA16" s="62">
        <v>5</v>
      </c>
      <c r="BB16" s="62"/>
      <c r="BC16" s="62"/>
      <c r="BD16" s="62"/>
      <c r="BE16" s="62"/>
      <c r="BF16" s="62"/>
    </row>
    <row r="17" spans="1:58" ht="17.850000000000001" customHeight="1">
      <c r="A17" s="17" t="s">
        <v>69</v>
      </c>
      <c r="B17" s="17">
        <v>30095151</v>
      </c>
      <c r="C17" s="64" t="s">
        <v>1161</v>
      </c>
      <c r="D17" s="17" t="s">
        <v>1162</v>
      </c>
      <c r="E17" s="17" t="s">
        <v>1277</v>
      </c>
      <c r="F17" s="19" t="s">
        <v>1163</v>
      </c>
      <c r="G17" s="19" t="s">
        <v>105</v>
      </c>
      <c r="H17" s="17" t="s">
        <v>207</v>
      </c>
      <c r="I17" s="19" t="s">
        <v>76</v>
      </c>
      <c r="J17" s="17" t="s">
        <v>197</v>
      </c>
      <c r="K17" s="19" t="s">
        <v>63</v>
      </c>
      <c r="L17" s="17" t="s">
        <v>78</v>
      </c>
      <c r="M17" s="17" t="s">
        <v>207</v>
      </c>
      <c r="N17" s="17" t="s">
        <v>198</v>
      </c>
      <c r="O17" s="17">
        <v>581</v>
      </c>
      <c r="P17" s="17" t="s">
        <v>199</v>
      </c>
      <c r="Q17" s="20">
        <f>'[1]FEBE Academics 2024'!R222</f>
        <v>28922</v>
      </c>
      <c r="R17" s="21">
        <f ca="1">YEARFRAC(Q17,TODAY())</f>
        <v>47.408333333333331</v>
      </c>
      <c r="S17" s="20">
        <f>EDATE(Q17,12*65)</f>
        <v>52664</v>
      </c>
      <c r="T17" s="17">
        <v>30000294</v>
      </c>
      <c r="U17" s="17" t="s">
        <v>80</v>
      </c>
      <c r="V17" s="17" t="s">
        <v>81</v>
      </c>
      <c r="W17" s="17" t="s">
        <v>82</v>
      </c>
      <c r="X17" s="22" t="s">
        <v>1164</v>
      </c>
      <c r="Y17" s="23">
        <v>45882</v>
      </c>
      <c r="Z17" s="34" t="s">
        <v>0</v>
      </c>
      <c r="AA17" s="34" t="s">
        <v>0</v>
      </c>
      <c r="AB17" s="34" t="s">
        <v>0</v>
      </c>
      <c r="AC17" s="34" t="s">
        <v>0</v>
      </c>
      <c r="AD17" s="34" t="s">
        <v>0</v>
      </c>
      <c r="AE17" s="18" t="s">
        <v>0</v>
      </c>
      <c r="AF17" s="18" t="s">
        <v>0</v>
      </c>
      <c r="AG17" s="18" t="s">
        <v>0</v>
      </c>
      <c r="AH17" s="17" t="s">
        <v>0</v>
      </c>
      <c r="AI17" s="17" t="s">
        <v>0</v>
      </c>
      <c r="AJ17" s="22">
        <v>1.5</v>
      </c>
      <c r="AK17" s="36">
        <v>5.2</v>
      </c>
      <c r="AL17" s="22">
        <v>4.07</v>
      </c>
      <c r="AM17" s="39">
        <f>0.2+0.5+0.3333+0.5+0.5+0.3333+0.5+1+0.5+1+1+0.3333+0.5+0.3333+0.3333+0.3333+0.3333+0.5+0.1667+0.25</f>
        <v>9.4498000000000015</v>
      </c>
      <c r="AN17" s="17">
        <v>6.5426000000000002</v>
      </c>
      <c r="AO17" s="17" t="s">
        <v>0</v>
      </c>
      <c r="AP17" s="17" t="s">
        <v>0</v>
      </c>
      <c r="AQ17" s="27" t="s">
        <v>1273</v>
      </c>
      <c r="AR17" s="18" t="s">
        <v>752</v>
      </c>
      <c r="AS17" s="18">
        <v>2019</v>
      </c>
      <c r="AT17" s="18">
        <v>2024</v>
      </c>
      <c r="AU17" s="18" t="s">
        <v>0</v>
      </c>
      <c r="AV17" s="54">
        <v>435</v>
      </c>
      <c r="AW17" s="18">
        <v>40</v>
      </c>
      <c r="AX17" s="17">
        <v>16</v>
      </c>
      <c r="AY17" s="17">
        <v>12</v>
      </c>
      <c r="AZ17" s="17">
        <v>16</v>
      </c>
      <c r="BA17" s="17">
        <v>17</v>
      </c>
      <c r="BB17" s="121" t="s">
        <v>1165</v>
      </c>
      <c r="BC17" s="18" t="s">
        <v>0</v>
      </c>
      <c r="BD17" s="18" t="s">
        <v>0</v>
      </c>
      <c r="BE17" s="18" t="s">
        <v>0</v>
      </c>
      <c r="BF17" s="18" t="s">
        <v>0</v>
      </c>
    </row>
    <row r="18" spans="1:58" ht="17.850000000000001" customHeight="1">
      <c r="A18" s="17" t="s">
        <v>69</v>
      </c>
      <c r="B18" s="17">
        <v>30000940</v>
      </c>
      <c r="C18" s="17" t="s">
        <v>1007</v>
      </c>
      <c r="D18" s="17" t="s">
        <v>1008</v>
      </c>
      <c r="E18" s="22" t="s">
        <v>1009</v>
      </c>
      <c r="F18" s="19" t="s">
        <v>1010</v>
      </c>
      <c r="G18" s="19" t="s">
        <v>80</v>
      </c>
      <c r="H18" s="17" t="s">
        <v>60</v>
      </c>
      <c r="I18" s="19" t="s">
        <v>76</v>
      </c>
      <c r="J18" s="17" t="s">
        <v>101</v>
      </c>
      <c r="K18" s="19" t="s">
        <v>63</v>
      </c>
      <c r="L18" s="17" t="s">
        <v>78</v>
      </c>
      <c r="M18" s="17" t="s">
        <v>60</v>
      </c>
      <c r="N18" s="17" t="s">
        <v>65</v>
      </c>
      <c r="O18" s="17">
        <v>580</v>
      </c>
      <c r="P18" s="17" t="s">
        <v>79</v>
      </c>
      <c r="Q18" s="37">
        <f>'[1]FEBE Academics 2024'!R18</f>
        <v>24381</v>
      </c>
      <c r="R18" s="38">
        <v>58</v>
      </c>
      <c r="S18" s="20">
        <f>EDATE(Q18,12*65)</f>
        <v>48122</v>
      </c>
      <c r="T18" s="17">
        <v>30000294</v>
      </c>
      <c r="U18" s="17" t="s">
        <v>80</v>
      </c>
      <c r="V18" s="17" t="s">
        <v>81</v>
      </c>
      <c r="W18" s="17" t="s">
        <v>82</v>
      </c>
      <c r="X18" s="22" t="s">
        <v>113</v>
      </c>
      <c r="Y18" s="23">
        <v>45735</v>
      </c>
      <c r="Z18" s="34"/>
      <c r="AA18" s="34" t="s">
        <v>0</v>
      </c>
      <c r="AB18" s="34" t="s">
        <v>0</v>
      </c>
      <c r="AC18" s="34" t="s">
        <v>0</v>
      </c>
      <c r="AD18" s="34" t="s">
        <v>0</v>
      </c>
      <c r="AE18" s="18" t="s">
        <v>0</v>
      </c>
      <c r="AF18" s="18" t="s">
        <v>0</v>
      </c>
      <c r="AG18" s="18" t="s">
        <v>0</v>
      </c>
      <c r="AH18" s="17" t="s">
        <v>0</v>
      </c>
      <c r="AI18" s="17" t="s">
        <v>0</v>
      </c>
      <c r="AJ18" s="22">
        <v>0.5</v>
      </c>
      <c r="AK18" s="22">
        <v>0</v>
      </c>
      <c r="AL18" s="22">
        <v>0</v>
      </c>
      <c r="AM18" s="18">
        <v>0</v>
      </c>
      <c r="AN18" s="17"/>
      <c r="AO18" s="17" t="s">
        <v>0</v>
      </c>
      <c r="AP18" s="17" t="s">
        <v>0</v>
      </c>
      <c r="AQ18" s="18" t="s">
        <v>1270</v>
      </c>
      <c r="AR18" s="66" t="s">
        <v>275</v>
      </c>
      <c r="AS18" s="18" t="s">
        <v>0</v>
      </c>
      <c r="AT18" s="18" t="s">
        <v>0</v>
      </c>
      <c r="AU18" s="18" t="s">
        <v>0</v>
      </c>
      <c r="AV18" s="18">
        <v>0</v>
      </c>
      <c r="AW18" s="18">
        <v>0</v>
      </c>
      <c r="AX18" s="17">
        <v>0</v>
      </c>
      <c r="AY18" s="17">
        <v>0</v>
      </c>
      <c r="AZ18" s="17">
        <v>0</v>
      </c>
      <c r="BA18" s="17">
        <v>0</v>
      </c>
      <c r="BB18" s="17" t="s">
        <v>94</v>
      </c>
      <c r="BC18" s="18">
        <v>1</v>
      </c>
      <c r="BD18" s="18" t="s">
        <v>0</v>
      </c>
      <c r="BE18" s="18" t="s">
        <v>0</v>
      </c>
      <c r="BF18" s="18" t="s">
        <v>0</v>
      </c>
    </row>
    <row r="19" spans="1:58" s="26" customFormat="1" ht="17.850000000000001" customHeight="1">
      <c r="A19" s="17" t="s">
        <v>54</v>
      </c>
      <c r="B19" s="17">
        <v>30107387</v>
      </c>
      <c r="C19" s="17" t="s">
        <v>904</v>
      </c>
      <c r="D19" s="17" t="s">
        <v>905</v>
      </c>
      <c r="E19" s="22" t="s">
        <v>906</v>
      </c>
      <c r="F19" s="19" t="s">
        <v>901</v>
      </c>
      <c r="G19" s="19" t="s">
        <v>80</v>
      </c>
      <c r="H19" s="17" t="s">
        <v>60</v>
      </c>
      <c r="I19" s="19" t="s">
        <v>61</v>
      </c>
      <c r="J19" s="17" t="s">
        <v>62</v>
      </c>
      <c r="K19" s="19" t="s">
        <v>63</v>
      </c>
      <c r="L19" s="17" t="s">
        <v>78</v>
      </c>
      <c r="M19" s="17" t="s">
        <v>112</v>
      </c>
      <c r="N19" s="17" t="s">
        <v>368</v>
      </c>
      <c r="O19" s="17">
        <v>594</v>
      </c>
      <c r="P19" s="17" t="s">
        <v>170</v>
      </c>
      <c r="Q19" s="37">
        <f>'[1]FEBE Academics 2024'!R19</f>
        <v>32948</v>
      </c>
      <c r="R19" s="38">
        <v>35</v>
      </c>
      <c r="S19" s="20">
        <f>EDATE(Q19,12*65)</f>
        <v>56689</v>
      </c>
      <c r="T19" s="17">
        <v>30007204</v>
      </c>
      <c r="U19" s="17" t="s">
        <v>59</v>
      </c>
      <c r="V19" s="17" t="s">
        <v>66</v>
      </c>
      <c r="W19" s="17" t="s">
        <v>67</v>
      </c>
      <c r="X19" s="22" t="s">
        <v>154</v>
      </c>
      <c r="Y19" s="23">
        <v>45681</v>
      </c>
      <c r="Z19" s="22" t="s">
        <v>0</v>
      </c>
      <c r="AA19" s="22" t="s">
        <v>0</v>
      </c>
      <c r="AB19" s="22" t="s">
        <v>0</v>
      </c>
      <c r="AC19" s="22" t="s">
        <v>0</v>
      </c>
      <c r="AD19" s="22" t="s">
        <v>0</v>
      </c>
      <c r="AE19" s="17" t="s">
        <v>0</v>
      </c>
      <c r="AF19" s="17" t="s">
        <v>0</v>
      </c>
      <c r="AG19" s="17" t="s">
        <v>0</v>
      </c>
      <c r="AH19" s="17" t="s">
        <v>0</v>
      </c>
      <c r="AI19" s="17" t="s">
        <v>0</v>
      </c>
      <c r="AJ19" s="22">
        <v>0.5</v>
      </c>
      <c r="AK19" s="22">
        <v>0</v>
      </c>
      <c r="AL19" s="22">
        <v>0</v>
      </c>
      <c r="AM19" s="43">
        <f>0.25+0.25</f>
        <v>0.5</v>
      </c>
      <c r="AN19" s="22"/>
      <c r="AO19" s="17" t="s">
        <v>0</v>
      </c>
      <c r="AP19" s="17" t="s">
        <v>0</v>
      </c>
      <c r="AQ19" s="62"/>
      <c r="AR19" s="18" t="s">
        <v>1270</v>
      </c>
      <c r="AS19" s="17" t="s">
        <v>0</v>
      </c>
      <c r="AT19" s="17" t="s">
        <v>0</v>
      </c>
      <c r="AU19" s="17" t="s">
        <v>0</v>
      </c>
      <c r="AV19" s="17" t="s">
        <v>0</v>
      </c>
      <c r="AW19" s="18">
        <v>0</v>
      </c>
      <c r="AX19" s="17">
        <v>2</v>
      </c>
      <c r="AY19" s="17" t="s">
        <v>0</v>
      </c>
      <c r="AZ19" s="17">
        <v>4</v>
      </c>
      <c r="BA19" s="17">
        <v>4</v>
      </c>
      <c r="BB19" s="17" t="s">
        <v>94</v>
      </c>
      <c r="BC19" s="17" t="s">
        <v>0</v>
      </c>
      <c r="BD19" s="17" t="s">
        <v>0</v>
      </c>
      <c r="BE19" s="17" t="s">
        <v>0</v>
      </c>
      <c r="BF19" s="17" t="s">
        <v>0</v>
      </c>
    </row>
    <row r="20" spans="1:58" ht="17.850000000000001" customHeight="1">
      <c r="A20" s="17" t="s">
        <v>135</v>
      </c>
      <c r="B20" s="17">
        <v>30104158</v>
      </c>
      <c r="C20" s="17" t="s">
        <v>1250</v>
      </c>
      <c r="D20" s="17" t="s">
        <v>1251</v>
      </c>
      <c r="E20" s="22" t="s">
        <v>1252</v>
      </c>
      <c r="F20" s="19" t="s">
        <v>1233</v>
      </c>
      <c r="G20" s="19" t="s">
        <v>74</v>
      </c>
      <c r="H20" s="17" t="s">
        <v>258</v>
      </c>
      <c r="I20" s="19" t="s">
        <v>76</v>
      </c>
      <c r="J20" s="17" t="s">
        <v>101</v>
      </c>
      <c r="K20" s="19" t="s">
        <v>63</v>
      </c>
      <c r="L20" s="17" t="s">
        <v>78</v>
      </c>
      <c r="M20" s="17" t="s">
        <v>112</v>
      </c>
      <c r="N20" s="17" t="s">
        <v>65</v>
      </c>
      <c r="O20" s="17">
        <v>531</v>
      </c>
      <c r="P20" s="17" t="s">
        <v>213</v>
      </c>
      <c r="Q20" s="37">
        <f>'[1]FEBE Academics 2024'!R20</f>
        <v>28480</v>
      </c>
      <c r="R20" s="38">
        <v>47</v>
      </c>
      <c r="S20" s="20">
        <f>EDATE(Q20,12*65)</f>
        <v>52221</v>
      </c>
      <c r="T20" s="17">
        <v>30015698</v>
      </c>
      <c r="U20" s="17" t="s">
        <v>190</v>
      </c>
      <c r="V20" s="17" t="s">
        <v>191</v>
      </c>
      <c r="W20" s="17" t="s">
        <v>192</v>
      </c>
      <c r="X20" s="22" t="s">
        <v>446</v>
      </c>
      <c r="Y20" s="23">
        <v>46003</v>
      </c>
      <c r="Z20" s="22" t="s">
        <v>259</v>
      </c>
      <c r="AA20" s="22" t="s">
        <v>0</v>
      </c>
      <c r="AB20" s="22">
        <v>2025</v>
      </c>
      <c r="AC20" s="22" t="s">
        <v>85</v>
      </c>
      <c r="AD20" s="22" t="s">
        <v>0</v>
      </c>
      <c r="AE20" s="17" t="s">
        <v>0</v>
      </c>
      <c r="AF20" s="17" t="s">
        <v>0</v>
      </c>
      <c r="AG20" s="17" t="s">
        <v>0</v>
      </c>
      <c r="AH20" s="17" t="s">
        <v>0</v>
      </c>
      <c r="AI20" s="17" t="s">
        <v>0</v>
      </c>
      <c r="AJ20" s="22">
        <v>0.25</v>
      </c>
      <c r="AK20" s="22">
        <v>0</v>
      </c>
      <c r="AL20" s="22">
        <v>0</v>
      </c>
      <c r="AM20" s="25">
        <v>0</v>
      </c>
      <c r="AN20" s="25"/>
      <c r="AO20" s="17" t="s">
        <v>0</v>
      </c>
      <c r="AP20" s="17" t="s">
        <v>0</v>
      </c>
      <c r="AQ20" s="18" t="s">
        <v>1270</v>
      </c>
      <c r="AR20" s="18"/>
      <c r="AS20" s="17" t="s">
        <v>0</v>
      </c>
      <c r="AT20" s="17" t="s">
        <v>0</v>
      </c>
      <c r="AU20" s="17" t="s">
        <v>0</v>
      </c>
      <c r="AV20" s="17" t="s">
        <v>0</v>
      </c>
      <c r="AW20" s="18">
        <v>0</v>
      </c>
      <c r="AX20" s="17">
        <v>0</v>
      </c>
      <c r="AY20" s="17" t="s">
        <v>0</v>
      </c>
      <c r="AZ20" s="17">
        <v>0</v>
      </c>
      <c r="BA20" s="17">
        <v>0</v>
      </c>
      <c r="BB20" s="17" t="s">
        <v>94</v>
      </c>
      <c r="BC20" s="17" t="s">
        <v>0</v>
      </c>
      <c r="BD20" s="17" t="s">
        <v>0</v>
      </c>
      <c r="BE20" s="17" t="s">
        <v>0</v>
      </c>
      <c r="BF20" s="17" t="s">
        <v>0</v>
      </c>
    </row>
    <row r="21" spans="1:58" ht="17.850000000000001" customHeight="1">
      <c r="A21" s="27" t="s">
        <v>115</v>
      </c>
      <c r="B21" s="27">
        <v>30102483</v>
      </c>
      <c r="C21" s="35" t="s">
        <v>116</v>
      </c>
      <c r="D21" s="27" t="s">
        <v>117</v>
      </c>
      <c r="E21" s="27" t="s">
        <v>118</v>
      </c>
      <c r="F21" s="29" t="s">
        <v>119</v>
      </c>
      <c r="G21" s="29" t="s">
        <v>74</v>
      </c>
      <c r="H21" s="27" t="s">
        <v>60</v>
      </c>
      <c r="I21" s="29" t="s">
        <v>76</v>
      </c>
      <c r="J21" s="27" t="s">
        <v>101</v>
      </c>
      <c r="K21" s="29" t="s">
        <v>120</v>
      </c>
      <c r="L21" s="27" t="s">
        <v>78</v>
      </c>
      <c r="M21" s="27" t="s">
        <v>121</v>
      </c>
      <c r="N21" s="27" t="s">
        <v>122</v>
      </c>
      <c r="O21" s="27"/>
      <c r="P21" s="27"/>
      <c r="Q21" s="41">
        <v>35967</v>
      </c>
      <c r="R21" s="27"/>
      <c r="S21" s="27"/>
      <c r="T21" s="27">
        <v>30097178</v>
      </c>
      <c r="U21" s="27" t="s">
        <v>105</v>
      </c>
      <c r="V21" s="27" t="s">
        <v>66</v>
      </c>
      <c r="W21" s="27" t="s">
        <v>123</v>
      </c>
      <c r="X21" s="27" t="s">
        <v>124</v>
      </c>
      <c r="Y21" s="42">
        <v>44927</v>
      </c>
      <c r="Z21" s="27"/>
      <c r="AA21" s="27"/>
      <c r="AB21" s="27"/>
      <c r="AC21" s="27"/>
      <c r="AD21" s="27"/>
      <c r="AE21" s="27"/>
      <c r="AF21" s="27"/>
      <c r="AG21" s="27"/>
      <c r="AH21" s="27"/>
      <c r="AI21" s="27"/>
      <c r="AJ21" s="27"/>
      <c r="AK21" s="27"/>
      <c r="AL21" s="27"/>
      <c r="AM21" s="27"/>
      <c r="AN21" s="17"/>
      <c r="AO21" s="27"/>
      <c r="AP21" s="27"/>
      <c r="AQ21" s="18" t="s">
        <v>1270</v>
      </c>
      <c r="AR21" s="18"/>
      <c r="AS21" s="27"/>
      <c r="AT21" s="27"/>
      <c r="AU21" s="27"/>
      <c r="AV21" s="27"/>
      <c r="AW21" s="27"/>
      <c r="AX21" s="27"/>
      <c r="AY21" s="27"/>
      <c r="AZ21" s="27"/>
      <c r="BA21" s="27"/>
      <c r="BB21" s="27"/>
      <c r="BC21" s="27"/>
      <c r="BD21" s="27"/>
      <c r="BE21" s="27"/>
      <c r="BF21" s="27"/>
    </row>
    <row r="22" spans="1:58" s="26" customFormat="1" ht="17.850000000000001" customHeight="1">
      <c r="A22" s="17" t="s">
        <v>54</v>
      </c>
      <c r="B22" s="17">
        <v>30006012</v>
      </c>
      <c r="C22" s="17" t="s">
        <v>342</v>
      </c>
      <c r="D22" s="17" t="s">
        <v>343</v>
      </c>
      <c r="E22" s="22" t="s">
        <v>344</v>
      </c>
      <c r="F22" s="19" t="s">
        <v>345</v>
      </c>
      <c r="G22" s="19" t="s">
        <v>59</v>
      </c>
      <c r="H22" s="17" t="s">
        <v>60</v>
      </c>
      <c r="I22" s="19" t="s">
        <v>61</v>
      </c>
      <c r="J22" s="17" t="s">
        <v>101</v>
      </c>
      <c r="K22" s="19" t="s">
        <v>63</v>
      </c>
      <c r="L22" s="17" t="s">
        <v>78</v>
      </c>
      <c r="M22" s="17" t="s">
        <v>60</v>
      </c>
      <c r="N22" s="17" t="s">
        <v>65</v>
      </c>
      <c r="O22" s="17">
        <v>594</v>
      </c>
      <c r="P22" s="17" t="s">
        <v>170</v>
      </c>
      <c r="Q22" s="37">
        <f>'[1]FEBE Academics 2024'!R21</f>
        <v>27684</v>
      </c>
      <c r="R22" s="38">
        <v>49</v>
      </c>
      <c r="S22" s="20">
        <f>EDATE(Q22,12*65)</f>
        <v>51426</v>
      </c>
      <c r="T22" s="17">
        <v>30007204</v>
      </c>
      <c r="U22" s="17" t="s">
        <v>59</v>
      </c>
      <c r="V22" s="17" t="s">
        <v>66</v>
      </c>
      <c r="W22" s="17" t="s">
        <v>67</v>
      </c>
      <c r="X22" s="22" t="s">
        <v>346</v>
      </c>
      <c r="Y22" s="23">
        <v>200</v>
      </c>
      <c r="Z22" s="22" t="s">
        <v>0</v>
      </c>
      <c r="AA22" s="22" t="s">
        <v>0</v>
      </c>
      <c r="AB22" s="22" t="s">
        <v>0</v>
      </c>
      <c r="AC22" s="22"/>
      <c r="AD22" s="22" t="s">
        <v>0</v>
      </c>
      <c r="AE22" s="17" t="s">
        <v>0</v>
      </c>
      <c r="AF22" s="17" t="s">
        <v>0</v>
      </c>
      <c r="AG22" s="17" t="s">
        <v>0</v>
      </c>
      <c r="AH22" s="17" t="s">
        <v>0</v>
      </c>
      <c r="AI22" s="17" t="s">
        <v>0</v>
      </c>
      <c r="AJ22" s="22">
        <v>0.5</v>
      </c>
      <c r="AK22" s="22">
        <v>0</v>
      </c>
      <c r="AL22" s="22">
        <v>0</v>
      </c>
      <c r="AM22" s="25">
        <v>0</v>
      </c>
      <c r="AN22" s="25"/>
      <c r="AO22" s="17" t="s">
        <v>0</v>
      </c>
      <c r="AP22" s="17" t="s">
        <v>0</v>
      </c>
      <c r="AQ22" s="18" t="s">
        <v>1270</v>
      </c>
      <c r="AR22" s="18"/>
      <c r="AS22" s="17" t="s">
        <v>0</v>
      </c>
      <c r="AT22" s="17" t="s">
        <v>0</v>
      </c>
      <c r="AU22" s="17" t="s">
        <v>0</v>
      </c>
      <c r="AV22" s="17" t="s">
        <v>0</v>
      </c>
      <c r="AW22" s="18">
        <v>0</v>
      </c>
      <c r="AX22" s="17">
        <v>0</v>
      </c>
      <c r="AY22" s="17" t="s">
        <v>0</v>
      </c>
      <c r="AZ22" s="17">
        <v>2</v>
      </c>
      <c r="BA22" s="17">
        <v>2</v>
      </c>
      <c r="BB22" s="17" t="s">
        <v>94</v>
      </c>
      <c r="BC22" s="17" t="s">
        <v>0</v>
      </c>
      <c r="BD22" s="17" t="s">
        <v>0</v>
      </c>
      <c r="BE22" s="17" t="s">
        <v>0</v>
      </c>
      <c r="BF22" s="17" t="s">
        <v>0</v>
      </c>
    </row>
    <row r="23" spans="1:58" ht="17.850000000000001" customHeight="1">
      <c r="A23" s="27" t="s">
        <v>54</v>
      </c>
      <c r="B23" s="27">
        <v>30090137</v>
      </c>
      <c r="C23" s="27" t="s">
        <v>268</v>
      </c>
      <c r="D23" s="27" t="s">
        <v>269</v>
      </c>
      <c r="E23" s="32" t="s">
        <v>270</v>
      </c>
      <c r="F23" s="29" t="s">
        <v>271</v>
      </c>
      <c r="G23" s="29" t="s">
        <v>80</v>
      </c>
      <c r="H23" s="27" t="s">
        <v>272</v>
      </c>
      <c r="I23" s="29" t="s">
        <v>61</v>
      </c>
      <c r="J23" s="27" t="s">
        <v>62</v>
      </c>
      <c r="K23" s="29" t="s">
        <v>63</v>
      </c>
      <c r="L23" s="27" t="s">
        <v>64</v>
      </c>
      <c r="M23" s="27" t="s">
        <v>60</v>
      </c>
      <c r="N23" s="27" t="s">
        <v>129</v>
      </c>
      <c r="O23" s="27">
        <v>2080</v>
      </c>
      <c r="P23" s="27" t="s">
        <v>153</v>
      </c>
      <c r="Q23" s="30">
        <f>'[1]FEBE Academics 2024'!R22</f>
        <v>26381</v>
      </c>
      <c r="R23" s="31">
        <v>53</v>
      </c>
      <c r="S23" s="30">
        <f>EDATE(Q23,12*65)</f>
        <v>50122</v>
      </c>
      <c r="T23" s="27">
        <v>30007204</v>
      </c>
      <c r="U23" s="27" t="s">
        <v>59</v>
      </c>
      <c r="V23" s="27" t="s">
        <v>66</v>
      </c>
      <c r="W23" s="27" t="s">
        <v>67</v>
      </c>
      <c r="X23" s="32" t="s">
        <v>273</v>
      </c>
      <c r="Y23" s="33">
        <v>36526</v>
      </c>
      <c r="Z23" s="32" t="s">
        <v>0</v>
      </c>
      <c r="AA23" s="34" t="s">
        <v>0</v>
      </c>
      <c r="AB23" s="34" t="s">
        <v>0</v>
      </c>
      <c r="AC23" s="34" t="s">
        <v>0</v>
      </c>
      <c r="AD23" s="34" t="s">
        <v>0</v>
      </c>
      <c r="AE23" s="18" t="s">
        <v>0</v>
      </c>
      <c r="AF23" s="18" t="s">
        <v>0</v>
      </c>
      <c r="AG23" s="18" t="s">
        <v>0</v>
      </c>
      <c r="AH23" s="17" t="s">
        <v>0</v>
      </c>
      <c r="AI23" s="17" t="s">
        <v>0</v>
      </c>
      <c r="AJ23" s="22" t="s">
        <v>0</v>
      </c>
      <c r="AK23" s="22">
        <v>0</v>
      </c>
      <c r="AL23" s="22">
        <v>0</v>
      </c>
      <c r="AM23" s="25">
        <v>0</v>
      </c>
      <c r="AN23" s="36">
        <v>0.25</v>
      </c>
      <c r="AO23" s="17" t="s">
        <v>274</v>
      </c>
      <c r="AP23" s="17" t="s">
        <v>0</v>
      </c>
      <c r="AQ23" s="18" t="s">
        <v>1270</v>
      </c>
      <c r="AR23" s="66" t="s">
        <v>275</v>
      </c>
      <c r="AS23" s="18" t="s">
        <v>0</v>
      </c>
      <c r="AT23" s="18" t="s">
        <v>0</v>
      </c>
      <c r="AU23" s="18" t="s">
        <v>0</v>
      </c>
      <c r="AV23" s="39">
        <v>49</v>
      </c>
      <c r="AW23" s="18">
        <v>5</v>
      </c>
      <c r="AX23" s="67">
        <v>59</v>
      </c>
      <c r="AY23" s="17" t="s">
        <v>0</v>
      </c>
      <c r="AZ23" s="17">
        <v>4</v>
      </c>
      <c r="BA23" s="17">
        <v>4</v>
      </c>
      <c r="BB23" s="18" t="s">
        <v>276</v>
      </c>
      <c r="BC23" s="18" t="s">
        <v>0</v>
      </c>
      <c r="BD23" s="18" t="s">
        <v>0</v>
      </c>
      <c r="BE23" s="18" t="s">
        <v>0</v>
      </c>
      <c r="BF23" s="18" t="s">
        <v>0</v>
      </c>
    </row>
    <row r="24" spans="1:58" s="47" customFormat="1" ht="17.850000000000001" customHeight="1">
      <c r="A24" s="17" t="s">
        <v>135</v>
      </c>
      <c r="B24" s="17">
        <v>30080283</v>
      </c>
      <c r="C24" s="17" t="s">
        <v>725</v>
      </c>
      <c r="D24" s="17" t="s">
        <v>726</v>
      </c>
      <c r="E24" s="22" t="s">
        <v>727</v>
      </c>
      <c r="F24" s="19" t="s">
        <v>728</v>
      </c>
      <c r="G24" s="19" t="s">
        <v>74</v>
      </c>
      <c r="H24" s="17" t="s">
        <v>60</v>
      </c>
      <c r="I24" s="19" t="s">
        <v>76</v>
      </c>
      <c r="J24" s="17" t="s">
        <v>62</v>
      </c>
      <c r="K24" s="19" t="s">
        <v>63</v>
      </c>
      <c r="L24" s="17" t="s">
        <v>78</v>
      </c>
      <c r="M24" s="17" t="s">
        <v>60</v>
      </c>
      <c r="N24" s="17" t="s">
        <v>65</v>
      </c>
      <c r="O24" s="17">
        <v>531</v>
      </c>
      <c r="P24" s="17" t="s">
        <v>213</v>
      </c>
      <c r="Q24" s="37">
        <f>'[1]FEBE Academics 2024'!R23</f>
        <v>30247</v>
      </c>
      <c r="R24" s="38">
        <v>42</v>
      </c>
      <c r="S24" s="20">
        <f>EDATE(Q24,12*65)</f>
        <v>53988</v>
      </c>
      <c r="T24" s="17">
        <v>30015698</v>
      </c>
      <c r="U24" s="17" t="s">
        <v>190</v>
      </c>
      <c r="V24" s="17" t="s">
        <v>191</v>
      </c>
      <c r="W24" s="17" t="s">
        <v>192</v>
      </c>
      <c r="X24" s="22" t="s">
        <v>214</v>
      </c>
      <c r="Y24" s="23">
        <v>45727</v>
      </c>
      <c r="Z24" s="22" t="s">
        <v>0</v>
      </c>
      <c r="AA24" s="22" t="s">
        <v>0</v>
      </c>
      <c r="AB24" s="22" t="s">
        <v>0</v>
      </c>
      <c r="AC24" s="22" t="s">
        <v>0</v>
      </c>
      <c r="AD24" s="22" t="s">
        <v>0</v>
      </c>
      <c r="AE24" s="17" t="s">
        <v>0</v>
      </c>
      <c r="AF24" s="17" t="s">
        <v>0</v>
      </c>
      <c r="AG24" s="17" t="s">
        <v>0</v>
      </c>
      <c r="AH24" s="17" t="s">
        <v>0</v>
      </c>
      <c r="AI24" s="17" t="s">
        <v>0</v>
      </c>
      <c r="AJ24" s="22">
        <v>0.5</v>
      </c>
      <c r="AK24" s="22">
        <v>0</v>
      </c>
      <c r="AL24" s="22">
        <v>0</v>
      </c>
      <c r="AM24" s="124">
        <v>0.3</v>
      </c>
      <c r="AN24" s="36">
        <v>0.1</v>
      </c>
      <c r="AO24" s="17" t="s">
        <v>729</v>
      </c>
      <c r="AP24" s="17" t="s">
        <v>0</v>
      </c>
      <c r="AQ24" s="18" t="s">
        <v>1270</v>
      </c>
      <c r="AR24" s="18" t="s">
        <v>1270</v>
      </c>
      <c r="AS24" s="17" t="s">
        <v>0</v>
      </c>
      <c r="AT24" s="17" t="s">
        <v>0</v>
      </c>
      <c r="AU24" s="17" t="s">
        <v>0</v>
      </c>
      <c r="AV24" s="17" t="s">
        <v>0</v>
      </c>
      <c r="AW24" s="18">
        <v>0</v>
      </c>
      <c r="AX24" s="17">
        <v>0</v>
      </c>
      <c r="AY24" s="17" t="s">
        <v>0</v>
      </c>
      <c r="AZ24" s="17">
        <v>0</v>
      </c>
      <c r="BA24" s="17">
        <v>0</v>
      </c>
      <c r="BB24" s="17" t="s">
        <v>94</v>
      </c>
      <c r="BC24" s="17" t="s">
        <v>0</v>
      </c>
      <c r="BD24" s="17" t="s">
        <v>0</v>
      </c>
      <c r="BE24" s="17" t="s">
        <v>0</v>
      </c>
      <c r="BF24" s="17" t="s">
        <v>0</v>
      </c>
    </row>
    <row r="25" spans="1:58" ht="17.850000000000001" customHeight="1">
      <c r="A25" s="17" t="s">
        <v>125</v>
      </c>
      <c r="B25" s="17">
        <v>30093525</v>
      </c>
      <c r="C25" s="17" t="s">
        <v>1077</v>
      </c>
      <c r="D25" s="17" t="s">
        <v>1078</v>
      </c>
      <c r="E25" s="22" t="s">
        <v>1079</v>
      </c>
      <c r="F25" s="19" t="s">
        <v>1038</v>
      </c>
      <c r="G25" s="19" t="s">
        <v>59</v>
      </c>
      <c r="H25" s="17" t="s">
        <v>60</v>
      </c>
      <c r="I25" s="19" t="s">
        <v>61</v>
      </c>
      <c r="J25" s="17" t="s">
        <v>62</v>
      </c>
      <c r="K25" s="19" t="s">
        <v>63</v>
      </c>
      <c r="L25" s="17" t="s">
        <v>78</v>
      </c>
      <c r="M25" s="17" t="s">
        <v>60</v>
      </c>
      <c r="N25" s="17" t="s">
        <v>65</v>
      </c>
      <c r="O25" s="17">
        <v>125</v>
      </c>
      <c r="P25" s="17" t="s">
        <v>130</v>
      </c>
      <c r="Q25" s="37">
        <f>'[1]FEBE Academics 2024'!R24</f>
        <v>33823</v>
      </c>
      <c r="R25" s="38">
        <v>32</v>
      </c>
      <c r="S25" s="20">
        <f>EDATE(Q25,12*65)</f>
        <v>57564</v>
      </c>
      <c r="T25" s="17">
        <v>30101611</v>
      </c>
      <c r="U25" s="17" t="s">
        <v>105</v>
      </c>
      <c r="V25" s="17" t="s">
        <v>76</v>
      </c>
      <c r="W25" s="17" t="s">
        <v>131</v>
      </c>
      <c r="X25" s="22" t="s">
        <v>496</v>
      </c>
      <c r="Y25" s="23">
        <v>45979</v>
      </c>
      <c r="Z25" s="52" t="s">
        <v>1080</v>
      </c>
      <c r="AA25" s="52">
        <v>2024</v>
      </c>
      <c r="AB25" s="34">
        <v>2028</v>
      </c>
      <c r="AC25" s="34" t="s">
        <v>85</v>
      </c>
      <c r="AD25" s="34" t="s">
        <v>1081</v>
      </c>
      <c r="AE25" s="83">
        <v>45090</v>
      </c>
      <c r="AF25" s="84" t="s">
        <v>1082</v>
      </c>
      <c r="AG25" s="18" t="s">
        <v>0</v>
      </c>
      <c r="AH25" s="17" t="s">
        <v>0</v>
      </c>
      <c r="AI25" s="17" t="s">
        <v>0</v>
      </c>
      <c r="AJ25" s="22">
        <v>0.5</v>
      </c>
      <c r="AK25" s="22">
        <v>0</v>
      </c>
      <c r="AL25" s="22">
        <v>0</v>
      </c>
      <c r="AM25" s="25">
        <v>0</v>
      </c>
      <c r="AN25" s="25"/>
      <c r="AO25" s="17" t="s">
        <v>0</v>
      </c>
      <c r="AP25" s="17" t="s">
        <v>0</v>
      </c>
      <c r="AQ25" s="62"/>
      <c r="AR25" s="18" t="s">
        <v>1270</v>
      </c>
      <c r="AS25" s="18" t="s">
        <v>0</v>
      </c>
      <c r="AT25" s="18" t="s">
        <v>0</v>
      </c>
      <c r="AU25" s="18" t="s">
        <v>0</v>
      </c>
      <c r="AV25" s="18" t="s">
        <v>0</v>
      </c>
      <c r="AW25" s="18">
        <v>0</v>
      </c>
      <c r="AX25" s="17">
        <v>0</v>
      </c>
      <c r="AY25" s="17" t="s">
        <v>0</v>
      </c>
      <c r="AZ25" s="17">
        <v>0</v>
      </c>
      <c r="BA25" s="17">
        <v>0</v>
      </c>
      <c r="BB25" s="18" t="s">
        <v>1083</v>
      </c>
      <c r="BC25" s="18" t="s">
        <v>0</v>
      </c>
      <c r="BD25" s="18" t="s">
        <v>0</v>
      </c>
      <c r="BE25" s="18" t="s">
        <v>0</v>
      </c>
      <c r="BF25" s="18" t="s">
        <v>0</v>
      </c>
    </row>
    <row r="26" spans="1:58" ht="17.850000000000001" customHeight="1">
      <c r="A26" s="17" t="s">
        <v>69</v>
      </c>
      <c r="B26" s="17">
        <v>30001500</v>
      </c>
      <c r="C26" s="65" t="s">
        <v>703</v>
      </c>
      <c r="D26" s="17" t="s">
        <v>704</v>
      </c>
      <c r="E26" s="22" t="s">
        <v>705</v>
      </c>
      <c r="F26" s="19" t="s">
        <v>434</v>
      </c>
      <c r="G26" s="19" t="s">
        <v>190</v>
      </c>
      <c r="H26" s="17" t="s">
        <v>60</v>
      </c>
      <c r="I26" s="19" t="s">
        <v>61</v>
      </c>
      <c r="J26" s="17" t="s">
        <v>77</v>
      </c>
      <c r="K26" s="19" t="s">
        <v>63</v>
      </c>
      <c r="L26" s="17" t="s">
        <v>78</v>
      </c>
      <c r="M26" s="17" t="s">
        <v>60</v>
      </c>
      <c r="N26" s="17" t="s">
        <v>65</v>
      </c>
      <c r="O26" s="17">
        <v>1012</v>
      </c>
      <c r="P26" s="17" t="s">
        <v>104</v>
      </c>
      <c r="Q26" s="20">
        <f>'[1]FEBE Academics 2024'!R25</f>
        <v>24639</v>
      </c>
      <c r="R26" s="21">
        <f ca="1">YEARFRAC(Q26,TODAY())</f>
        <v>59.136111111111113</v>
      </c>
      <c r="S26" s="20">
        <f>EDATE(Q26,12*65)</f>
        <v>48381</v>
      </c>
      <c r="T26" s="17">
        <v>30000294</v>
      </c>
      <c r="U26" s="17" t="s">
        <v>80</v>
      </c>
      <c r="V26" s="17" t="s">
        <v>81</v>
      </c>
      <c r="W26" s="17" t="s">
        <v>82</v>
      </c>
      <c r="X26" s="22" t="s">
        <v>706</v>
      </c>
      <c r="Y26" s="23">
        <v>33208</v>
      </c>
      <c r="Z26" s="34" t="s">
        <v>707</v>
      </c>
      <c r="AA26" s="34">
        <v>2019</v>
      </c>
      <c r="AB26" s="34">
        <v>2025</v>
      </c>
      <c r="AC26" s="34" t="s">
        <v>473</v>
      </c>
      <c r="AD26" s="34" t="s">
        <v>708</v>
      </c>
      <c r="AE26" s="18" t="s">
        <v>0</v>
      </c>
      <c r="AF26" s="18" t="s">
        <v>0</v>
      </c>
      <c r="AG26" s="18" t="s">
        <v>0</v>
      </c>
      <c r="AH26" s="17" t="s">
        <v>0</v>
      </c>
      <c r="AI26" s="17" t="s">
        <v>0</v>
      </c>
      <c r="AJ26" s="22">
        <v>0.5</v>
      </c>
      <c r="AK26" s="22">
        <v>0</v>
      </c>
      <c r="AL26" s="22">
        <v>0.67</v>
      </c>
      <c r="AM26" s="18">
        <v>0</v>
      </c>
      <c r="AN26" s="17">
        <v>7.6899999999999996E-2</v>
      </c>
      <c r="AO26" s="17" t="s">
        <v>0</v>
      </c>
      <c r="AP26" s="17" t="s">
        <v>0</v>
      </c>
      <c r="AQ26" s="18" t="s">
        <v>1270</v>
      </c>
      <c r="AR26" s="18" t="s">
        <v>1270</v>
      </c>
      <c r="AS26" s="18" t="s">
        <v>0</v>
      </c>
      <c r="AT26" s="18" t="s">
        <v>0</v>
      </c>
      <c r="AU26" s="18" t="s">
        <v>0</v>
      </c>
      <c r="AV26" s="18" t="s">
        <v>0</v>
      </c>
      <c r="AW26" s="18">
        <v>0</v>
      </c>
      <c r="AX26" s="17">
        <v>0</v>
      </c>
      <c r="AY26" s="17" t="s">
        <v>0</v>
      </c>
      <c r="AZ26" s="17">
        <v>0</v>
      </c>
      <c r="BA26" s="17">
        <v>0</v>
      </c>
      <c r="BB26" s="40" t="s">
        <v>709</v>
      </c>
      <c r="BC26" s="18" t="s">
        <v>0</v>
      </c>
      <c r="BD26" s="18" t="s">
        <v>0</v>
      </c>
      <c r="BE26" s="18" t="s">
        <v>0</v>
      </c>
      <c r="BF26" s="18" t="s">
        <v>0</v>
      </c>
    </row>
    <row r="27" spans="1:58" s="26" customFormat="1" ht="17.850000000000001" customHeight="1">
      <c r="A27" s="17" t="s">
        <v>95</v>
      </c>
      <c r="B27" s="17">
        <v>30080284</v>
      </c>
      <c r="C27" s="17" t="s">
        <v>1215</v>
      </c>
      <c r="D27" s="17" t="s">
        <v>1216</v>
      </c>
      <c r="E27" s="32" t="s">
        <v>705</v>
      </c>
      <c r="F27" s="19" t="s">
        <v>1217</v>
      </c>
      <c r="G27" s="19" t="s">
        <v>74</v>
      </c>
      <c r="H27" s="17" t="s">
        <v>258</v>
      </c>
      <c r="I27" s="19" t="s">
        <v>76</v>
      </c>
      <c r="J27" s="17" t="s">
        <v>77</v>
      </c>
      <c r="K27" s="19" t="s">
        <v>63</v>
      </c>
      <c r="L27" s="17" t="s">
        <v>78</v>
      </c>
      <c r="M27" s="17" t="s">
        <v>258</v>
      </c>
      <c r="N27" s="17" t="s">
        <v>65</v>
      </c>
      <c r="O27" s="17">
        <v>1012</v>
      </c>
      <c r="P27" s="17" t="s">
        <v>104</v>
      </c>
      <c r="Q27" s="20">
        <f>'[1]FEBE Academics 2024'!R26</f>
        <v>25334</v>
      </c>
      <c r="R27" s="21">
        <f ca="1">YEARFRAC(Q27,TODAY())</f>
        <v>57.233333333333334</v>
      </c>
      <c r="S27" s="20">
        <f>EDATE(Q27,12*65)</f>
        <v>49075</v>
      </c>
      <c r="T27" s="17">
        <v>30110521</v>
      </c>
      <c r="U27" s="17" t="s">
        <v>105</v>
      </c>
      <c r="V27" s="17" t="s">
        <v>106</v>
      </c>
      <c r="W27" s="17" t="s">
        <v>107</v>
      </c>
      <c r="X27" s="22" t="s">
        <v>556</v>
      </c>
      <c r="Y27" s="59" t="s">
        <v>0</v>
      </c>
      <c r="Z27" s="34" t="s">
        <v>0</v>
      </c>
      <c r="AA27" s="34" t="s">
        <v>0</v>
      </c>
      <c r="AB27" s="34" t="s">
        <v>0</v>
      </c>
      <c r="AC27" s="34" t="s">
        <v>0</v>
      </c>
      <c r="AD27" s="34" t="s">
        <v>0</v>
      </c>
      <c r="AE27" s="18" t="s">
        <v>0</v>
      </c>
      <c r="AF27" s="18" t="s">
        <v>0</v>
      </c>
      <c r="AG27" s="18" t="s">
        <v>0</v>
      </c>
      <c r="AH27" s="17" t="s">
        <v>0</v>
      </c>
      <c r="AI27" s="17" t="s">
        <v>0</v>
      </c>
      <c r="AJ27" s="22">
        <v>0.25</v>
      </c>
      <c r="AK27" s="22">
        <v>0</v>
      </c>
      <c r="AL27" s="22">
        <v>0</v>
      </c>
      <c r="AM27" s="32">
        <v>0</v>
      </c>
      <c r="AN27" s="22"/>
      <c r="AO27" s="17" t="s">
        <v>0</v>
      </c>
      <c r="AP27" s="17" t="s">
        <v>0</v>
      </c>
      <c r="AQ27" s="62"/>
      <c r="AR27" s="18" t="s">
        <v>1270</v>
      </c>
      <c r="AS27" s="18" t="s">
        <v>0</v>
      </c>
      <c r="AT27" s="18" t="s">
        <v>0</v>
      </c>
      <c r="AU27" s="18" t="s">
        <v>0</v>
      </c>
      <c r="AV27" s="18" t="s">
        <v>0</v>
      </c>
      <c r="AW27" s="18">
        <v>0</v>
      </c>
      <c r="AX27" s="17">
        <v>0</v>
      </c>
      <c r="AY27" s="17" t="s">
        <v>0</v>
      </c>
      <c r="AZ27" s="17">
        <v>0</v>
      </c>
      <c r="BA27" s="17">
        <v>0</v>
      </c>
      <c r="BB27" s="18" t="s">
        <v>94</v>
      </c>
      <c r="BC27" s="18" t="s">
        <v>0</v>
      </c>
      <c r="BD27" s="18" t="s">
        <v>0</v>
      </c>
      <c r="BE27" s="18" t="s">
        <v>0</v>
      </c>
      <c r="BF27" s="18" t="s">
        <v>0</v>
      </c>
    </row>
    <row r="28" spans="1:58" s="68" customFormat="1" ht="17.850000000000001" customHeight="1">
      <c r="A28" s="27" t="s">
        <v>260</v>
      </c>
      <c r="B28" s="27">
        <v>30091229</v>
      </c>
      <c r="C28" s="27" t="s">
        <v>1096</v>
      </c>
      <c r="D28" s="27" t="s">
        <v>1097</v>
      </c>
      <c r="E28" s="32" t="s">
        <v>1098</v>
      </c>
      <c r="F28" s="29" t="s">
        <v>171</v>
      </c>
      <c r="G28" s="29" t="s">
        <v>80</v>
      </c>
      <c r="H28" s="27" t="s">
        <v>102</v>
      </c>
      <c r="I28" s="29" t="s">
        <v>76</v>
      </c>
      <c r="J28" s="27" t="s">
        <v>77</v>
      </c>
      <c r="K28" s="29" t="s">
        <v>63</v>
      </c>
      <c r="L28" s="27" t="s">
        <v>78</v>
      </c>
      <c r="M28" s="27" t="s">
        <v>102</v>
      </c>
      <c r="N28" s="27" t="s">
        <v>65</v>
      </c>
      <c r="O28" s="27">
        <v>923</v>
      </c>
      <c r="P28" s="27" t="s">
        <v>1099</v>
      </c>
      <c r="Q28" s="30">
        <f>'[1]FEBE Academics 2024'!R27</f>
        <v>24821</v>
      </c>
      <c r="R28" s="31">
        <f ca="1">YEARFRAC(Q28,TODAY())</f>
        <v>58.638888888888886</v>
      </c>
      <c r="S28" s="30">
        <f>EDATE(Q28,12*65)</f>
        <v>48563</v>
      </c>
      <c r="T28" s="17">
        <v>30010866</v>
      </c>
      <c r="U28" s="17" t="s">
        <v>265</v>
      </c>
      <c r="V28" s="17" t="s">
        <v>266</v>
      </c>
      <c r="W28" s="17" t="s">
        <v>267</v>
      </c>
      <c r="X28" s="32" t="s">
        <v>369</v>
      </c>
      <c r="Y28" s="33">
        <v>36251</v>
      </c>
      <c r="Z28" s="32" t="s">
        <v>0</v>
      </c>
      <c r="AA28" s="32" t="s">
        <v>0</v>
      </c>
      <c r="AB28" s="32" t="s">
        <v>0</v>
      </c>
      <c r="AC28" s="43" t="s">
        <v>0</v>
      </c>
      <c r="AD28" s="43" t="s">
        <v>0</v>
      </c>
      <c r="AE28" s="39" t="s">
        <v>0</v>
      </c>
      <c r="AF28" s="39" t="s">
        <v>0</v>
      </c>
      <c r="AG28" s="39" t="s">
        <v>0</v>
      </c>
      <c r="AH28" s="39" t="s">
        <v>0</v>
      </c>
      <c r="AI28" s="39" t="s">
        <v>0</v>
      </c>
      <c r="AJ28" s="43">
        <v>1</v>
      </c>
      <c r="AK28" s="43">
        <v>0</v>
      </c>
      <c r="AL28" s="43">
        <v>0</v>
      </c>
      <c r="AM28" s="43">
        <v>0</v>
      </c>
      <c r="AN28" s="22"/>
      <c r="AO28" s="39" t="s">
        <v>0</v>
      </c>
      <c r="AP28" s="39" t="s">
        <v>0</v>
      </c>
      <c r="AQ28" s="17"/>
      <c r="AR28" s="18" t="s">
        <v>1270</v>
      </c>
      <c r="AS28" s="39" t="s">
        <v>0</v>
      </c>
      <c r="AT28" s="39" t="s">
        <v>0</v>
      </c>
      <c r="AU28" s="39" t="s">
        <v>0</v>
      </c>
      <c r="AV28" s="39">
        <v>0</v>
      </c>
      <c r="AW28" s="18">
        <v>0</v>
      </c>
      <c r="AX28" s="17">
        <v>0</v>
      </c>
      <c r="AY28" s="17">
        <v>0</v>
      </c>
      <c r="AZ28" s="17">
        <v>0</v>
      </c>
      <c r="BA28" s="39">
        <v>0</v>
      </c>
      <c r="BB28" s="39" t="s">
        <v>1100</v>
      </c>
      <c r="BC28" s="39" t="s">
        <v>0</v>
      </c>
      <c r="BD28" s="39" t="s">
        <v>0</v>
      </c>
      <c r="BE28" s="39">
        <v>7</v>
      </c>
      <c r="BF28" s="39" t="s">
        <v>0</v>
      </c>
    </row>
    <row r="29" spans="1:58" s="69" customFormat="1" ht="17.850000000000001" customHeight="1">
      <c r="A29" s="17" t="s">
        <v>95</v>
      </c>
      <c r="B29" s="17">
        <v>30097630</v>
      </c>
      <c r="C29" s="17" t="s">
        <v>587</v>
      </c>
      <c r="D29" s="17" t="s">
        <v>588</v>
      </c>
      <c r="E29" s="22" t="s">
        <v>589</v>
      </c>
      <c r="F29" s="19" t="s">
        <v>590</v>
      </c>
      <c r="G29" s="19" t="s">
        <v>74</v>
      </c>
      <c r="H29" s="17" t="s">
        <v>60</v>
      </c>
      <c r="I29" s="19" t="s">
        <v>76</v>
      </c>
      <c r="J29" s="17" t="s">
        <v>77</v>
      </c>
      <c r="K29" s="19" t="s">
        <v>63</v>
      </c>
      <c r="L29" s="17" t="s">
        <v>78</v>
      </c>
      <c r="M29" s="17" t="s">
        <v>60</v>
      </c>
      <c r="N29" s="17" t="s">
        <v>65</v>
      </c>
      <c r="O29" s="17">
        <v>1012</v>
      </c>
      <c r="P29" s="17" t="s">
        <v>104</v>
      </c>
      <c r="Q29" s="20">
        <f>'[1]FEBE Academics 2024'!R28</f>
        <v>31924</v>
      </c>
      <c r="R29" s="21">
        <f ca="1">YEARFRAC(Q29,TODAY())</f>
        <v>39.18888888888889</v>
      </c>
      <c r="S29" s="20">
        <f>EDATE(Q29,12*65)</f>
        <v>55666</v>
      </c>
      <c r="T29" s="17">
        <v>30110521</v>
      </c>
      <c r="U29" s="17" t="s">
        <v>105</v>
      </c>
      <c r="V29" s="17" t="s">
        <v>106</v>
      </c>
      <c r="W29" s="17" t="s">
        <v>107</v>
      </c>
      <c r="X29" s="22" t="s">
        <v>591</v>
      </c>
      <c r="Y29" s="23">
        <v>45762</v>
      </c>
      <c r="Z29" s="22" t="s">
        <v>0</v>
      </c>
      <c r="AA29" s="22" t="s">
        <v>0</v>
      </c>
      <c r="AB29" s="22" t="s">
        <v>0</v>
      </c>
      <c r="AC29" s="22" t="s">
        <v>0</v>
      </c>
      <c r="AD29" s="22" t="s">
        <v>0</v>
      </c>
      <c r="AE29" s="17" t="s">
        <v>0</v>
      </c>
      <c r="AF29" s="17" t="s">
        <v>0</v>
      </c>
      <c r="AG29" s="17" t="s">
        <v>0</v>
      </c>
      <c r="AH29" s="17" t="s">
        <v>0</v>
      </c>
      <c r="AI29" s="17" t="s">
        <v>0</v>
      </c>
      <c r="AJ29" s="22">
        <v>0.5</v>
      </c>
      <c r="AK29" s="22" t="s">
        <v>495</v>
      </c>
      <c r="AL29" s="22" t="s">
        <v>495</v>
      </c>
      <c r="AM29" s="32">
        <v>0</v>
      </c>
      <c r="AN29" s="22"/>
      <c r="AO29" s="17" t="s">
        <v>0</v>
      </c>
      <c r="AP29" s="17" t="s">
        <v>0</v>
      </c>
      <c r="AQ29" s="18" t="s">
        <v>1270</v>
      </c>
      <c r="AR29" s="18" t="s">
        <v>1270</v>
      </c>
      <c r="AS29" s="17" t="s">
        <v>0</v>
      </c>
      <c r="AT29" s="17" t="s">
        <v>0</v>
      </c>
      <c r="AU29" s="17" t="s">
        <v>0</v>
      </c>
      <c r="AV29" s="17" t="s">
        <v>0</v>
      </c>
      <c r="AW29" s="18">
        <v>0</v>
      </c>
      <c r="AX29" s="17">
        <v>0</v>
      </c>
      <c r="AY29" s="17" t="s">
        <v>0</v>
      </c>
      <c r="AZ29" s="17">
        <v>0</v>
      </c>
      <c r="BA29" s="17">
        <v>0</v>
      </c>
      <c r="BB29" s="17" t="s">
        <v>94</v>
      </c>
      <c r="BC29" s="17" t="s">
        <v>0</v>
      </c>
      <c r="BD29" s="17" t="s">
        <v>0</v>
      </c>
      <c r="BE29" s="17" t="s">
        <v>0</v>
      </c>
      <c r="BF29" s="17" t="s">
        <v>0</v>
      </c>
    </row>
    <row r="30" spans="1:58" ht="17.850000000000001" customHeight="1">
      <c r="A30" s="17" t="s">
        <v>69</v>
      </c>
      <c r="B30" s="17">
        <v>30001698</v>
      </c>
      <c r="C30" s="17" t="s">
        <v>155</v>
      </c>
      <c r="D30" s="17" t="s">
        <v>156</v>
      </c>
      <c r="E30" s="22" t="s">
        <v>157</v>
      </c>
      <c r="F30" s="19" t="s">
        <v>158</v>
      </c>
      <c r="G30" s="19" t="s">
        <v>80</v>
      </c>
      <c r="H30" s="17" t="s">
        <v>60</v>
      </c>
      <c r="I30" s="19" t="s">
        <v>76</v>
      </c>
      <c r="J30" s="17" t="s">
        <v>101</v>
      </c>
      <c r="K30" s="19" t="s">
        <v>63</v>
      </c>
      <c r="L30" s="17" t="s">
        <v>78</v>
      </c>
      <c r="M30" s="17" t="s">
        <v>60</v>
      </c>
      <c r="N30" s="17" t="s">
        <v>65</v>
      </c>
      <c r="O30" s="17">
        <v>580</v>
      </c>
      <c r="P30" s="17" t="s">
        <v>79</v>
      </c>
      <c r="Q30" s="20">
        <f>'[1]FEBE Academics 2024'!R29</f>
        <v>26860</v>
      </c>
      <c r="R30" s="21">
        <f ca="1">YEARFRAC(Q30,TODAY())</f>
        <v>53.055555555555557</v>
      </c>
      <c r="S30" s="20">
        <f>EDATE(Q30,12*65)</f>
        <v>50601</v>
      </c>
      <c r="T30" s="17">
        <v>30000294</v>
      </c>
      <c r="U30" s="17" t="s">
        <v>80</v>
      </c>
      <c r="V30" s="17" t="s">
        <v>81</v>
      </c>
      <c r="W30" s="17" t="s">
        <v>82</v>
      </c>
      <c r="X30" s="48" t="s">
        <v>159</v>
      </c>
      <c r="Y30" s="23">
        <v>46011</v>
      </c>
      <c r="Z30" s="34" t="s">
        <v>0</v>
      </c>
      <c r="AA30" s="34" t="s">
        <v>0</v>
      </c>
      <c r="AB30" s="34" t="s">
        <v>0</v>
      </c>
      <c r="AC30" s="34" t="s">
        <v>0</v>
      </c>
      <c r="AD30" s="34" t="s">
        <v>0</v>
      </c>
      <c r="AE30" s="18" t="s">
        <v>0</v>
      </c>
      <c r="AF30" s="18" t="s">
        <v>0</v>
      </c>
      <c r="AG30" s="18" t="s">
        <v>0</v>
      </c>
      <c r="AH30" s="17" t="s">
        <v>0</v>
      </c>
      <c r="AI30" s="17" t="s">
        <v>0</v>
      </c>
      <c r="AJ30" s="22">
        <v>0.5</v>
      </c>
      <c r="AK30" s="22">
        <v>0</v>
      </c>
      <c r="AL30" s="22">
        <v>0</v>
      </c>
      <c r="AM30" s="18">
        <v>0</v>
      </c>
      <c r="AN30" s="17"/>
      <c r="AO30" s="17" t="s">
        <v>0</v>
      </c>
      <c r="AP30" s="17" t="s">
        <v>0</v>
      </c>
      <c r="AQ30" s="18" t="s">
        <v>1270</v>
      </c>
      <c r="AR30" s="18"/>
      <c r="AS30" s="18" t="s">
        <v>0</v>
      </c>
      <c r="AT30" s="18" t="s">
        <v>0</v>
      </c>
      <c r="AU30" s="18" t="s">
        <v>0</v>
      </c>
      <c r="AV30" s="18">
        <v>1</v>
      </c>
      <c r="AW30" s="18">
        <v>0</v>
      </c>
      <c r="AX30" s="17">
        <v>0</v>
      </c>
      <c r="AY30" s="17">
        <v>1</v>
      </c>
      <c r="AZ30" s="17">
        <v>1</v>
      </c>
      <c r="BA30" s="17">
        <v>0</v>
      </c>
      <c r="BB30" s="18" t="s">
        <v>160</v>
      </c>
      <c r="BC30" s="18">
        <v>1</v>
      </c>
      <c r="BD30" s="18" t="s">
        <v>0</v>
      </c>
      <c r="BE30" s="18" t="s">
        <v>0</v>
      </c>
      <c r="BF30" s="18" t="s">
        <v>0</v>
      </c>
    </row>
    <row r="31" spans="1:58" ht="17.850000000000001" customHeight="1">
      <c r="A31" s="27" t="s">
        <v>54</v>
      </c>
      <c r="B31" s="27">
        <v>30097694</v>
      </c>
      <c r="C31" s="27" t="s">
        <v>983</v>
      </c>
      <c r="D31" s="27" t="s">
        <v>984</v>
      </c>
      <c r="E31" s="27" t="s">
        <v>985</v>
      </c>
      <c r="F31" s="29" t="s">
        <v>63</v>
      </c>
      <c r="G31" s="29" t="s">
        <v>80</v>
      </c>
      <c r="H31" s="27" t="s">
        <v>986</v>
      </c>
      <c r="I31" s="29" t="s">
        <v>76</v>
      </c>
      <c r="J31" s="27" t="s">
        <v>62</v>
      </c>
      <c r="K31" s="29" t="s">
        <v>63</v>
      </c>
      <c r="L31" s="27" t="s">
        <v>78</v>
      </c>
      <c r="M31" s="27" t="s">
        <v>112</v>
      </c>
      <c r="N31" s="27" t="s">
        <v>165</v>
      </c>
      <c r="O31" s="27">
        <v>594</v>
      </c>
      <c r="P31" s="27" t="s">
        <v>170</v>
      </c>
      <c r="Q31" s="30">
        <f>'[1]FEBE Academics 2024'!R30</f>
        <v>31304</v>
      </c>
      <c r="R31" s="31">
        <f ca="1">YEARFRAC(Q31,TODAY())</f>
        <v>40.891666666666666</v>
      </c>
      <c r="S31" s="30">
        <f>EDATE(Q31,12*65)</f>
        <v>55045</v>
      </c>
      <c r="T31" s="27">
        <v>30007204</v>
      </c>
      <c r="U31" s="27" t="s">
        <v>59</v>
      </c>
      <c r="V31" s="27" t="s">
        <v>66</v>
      </c>
      <c r="W31" s="27" t="s">
        <v>67</v>
      </c>
      <c r="X31" s="27" t="s">
        <v>142</v>
      </c>
      <c r="Y31" s="146">
        <v>46011</v>
      </c>
      <c r="Z31" s="27" t="s">
        <v>0</v>
      </c>
      <c r="AA31" s="27" t="s">
        <v>0</v>
      </c>
      <c r="AB31" s="27" t="s">
        <v>0</v>
      </c>
      <c r="AC31" s="27" t="s">
        <v>0</v>
      </c>
      <c r="AD31" s="27" t="s">
        <v>0</v>
      </c>
      <c r="AE31" s="27" t="s">
        <v>0</v>
      </c>
      <c r="AF31" s="27" t="s">
        <v>0</v>
      </c>
      <c r="AG31" s="27" t="s">
        <v>0</v>
      </c>
      <c r="AH31" s="27" t="s">
        <v>0</v>
      </c>
      <c r="AI31" s="27" t="s">
        <v>0</v>
      </c>
      <c r="AJ31" s="27">
        <v>0.5</v>
      </c>
      <c r="AK31" s="27">
        <v>0</v>
      </c>
      <c r="AL31" s="27">
        <v>0</v>
      </c>
      <c r="AM31" s="25">
        <v>0</v>
      </c>
      <c r="AN31" s="75">
        <v>0.26669999999999999</v>
      </c>
      <c r="AO31" s="27" t="s">
        <v>274</v>
      </c>
      <c r="AP31" s="27" t="s">
        <v>0</v>
      </c>
      <c r="AQ31" s="18" t="s">
        <v>1270</v>
      </c>
      <c r="AR31" s="27" t="s">
        <v>275</v>
      </c>
      <c r="AS31" s="27" t="s">
        <v>0</v>
      </c>
      <c r="AT31" s="27" t="s">
        <v>0</v>
      </c>
      <c r="AU31" s="27" t="s">
        <v>0</v>
      </c>
      <c r="AV31" s="27">
        <v>146</v>
      </c>
      <c r="AW31" s="27">
        <v>0</v>
      </c>
      <c r="AX31" s="17">
        <v>0</v>
      </c>
      <c r="AY31" s="17">
        <v>5</v>
      </c>
      <c r="AZ31" s="17">
        <v>5</v>
      </c>
      <c r="BA31" s="17">
        <v>4</v>
      </c>
      <c r="BB31" s="27" t="s">
        <v>987</v>
      </c>
      <c r="BC31" s="27" t="s">
        <v>0</v>
      </c>
      <c r="BD31" s="27" t="s">
        <v>0</v>
      </c>
      <c r="BE31" s="27" t="s">
        <v>0</v>
      </c>
      <c r="BF31" s="27" t="s">
        <v>0</v>
      </c>
    </row>
    <row r="32" spans="1:58" s="26" customFormat="1" ht="17.850000000000001" customHeight="1">
      <c r="A32" s="17" t="s">
        <v>135</v>
      </c>
      <c r="B32" s="17">
        <v>30105401</v>
      </c>
      <c r="C32" s="17" t="s">
        <v>187</v>
      </c>
      <c r="D32" s="17" t="s">
        <v>188</v>
      </c>
      <c r="E32" s="22" t="s">
        <v>141</v>
      </c>
      <c r="F32" s="19" t="s">
        <v>99</v>
      </c>
      <c r="G32" s="19" t="s">
        <v>59</v>
      </c>
      <c r="H32" s="17" t="s">
        <v>189</v>
      </c>
      <c r="I32" s="19" t="s">
        <v>61</v>
      </c>
      <c r="J32" s="17" t="s">
        <v>77</v>
      </c>
      <c r="K32" s="19" t="s">
        <v>63</v>
      </c>
      <c r="L32" s="17" t="s">
        <v>78</v>
      </c>
      <c r="M32" s="17" t="s">
        <v>60</v>
      </c>
      <c r="N32" s="17" t="s">
        <v>65</v>
      </c>
      <c r="O32" s="17" t="s">
        <v>0</v>
      </c>
      <c r="P32" s="17" t="s">
        <v>0</v>
      </c>
      <c r="Q32" s="20">
        <f>'[1]FEBE Academics 2024'!R37</f>
        <v>29850</v>
      </c>
      <c r="R32" s="21">
        <f ca="1">YEARFRAC(Q32,TODAY())</f>
        <v>44.87222222222222</v>
      </c>
      <c r="S32" s="20">
        <f>EDATE(Q32,12*65)</f>
        <v>53591</v>
      </c>
      <c r="T32" s="17">
        <v>30015698</v>
      </c>
      <c r="U32" s="17" t="s">
        <v>190</v>
      </c>
      <c r="V32" s="17" t="s">
        <v>191</v>
      </c>
      <c r="W32" s="17" t="s">
        <v>192</v>
      </c>
      <c r="X32" s="22" t="s">
        <v>193</v>
      </c>
      <c r="Y32" s="23">
        <v>45882</v>
      </c>
      <c r="Z32" s="22" t="s">
        <v>0</v>
      </c>
      <c r="AA32" s="22" t="s">
        <v>0</v>
      </c>
      <c r="AB32" s="22" t="s">
        <v>0</v>
      </c>
      <c r="AC32" s="22" t="s">
        <v>0</v>
      </c>
      <c r="AD32" s="22" t="s">
        <v>0</v>
      </c>
      <c r="AE32" s="17" t="s">
        <v>0</v>
      </c>
      <c r="AF32" s="17" t="s">
        <v>0</v>
      </c>
      <c r="AG32" s="17" t="s">
        <v>0</v>
      </c>
      <c r="AH32" s="17" t="s">
        <v>0</v>
      </c>
      <c r="AI32" s="17" t="s">
        <v>0</v>
      </c>
      <c r="AJ32" s="22">
        <v>0.5</v>
      </c>
      <c r="AK32" s="22">
        <v>0</v>
      </c>
      <c r="AL32" s="22">
        <v>0</v>
      </c>
      <c r="AM32" s="22">
        <v>0</v>
      </c>
      <c r="AN32" s="22"/>
      <c r="AO32" s="17" t="s">
        <v>0</v>
      </c>
      <c r="AP32" s="17" t="s">
        <v>0</v>
      </c>
      <c r="AQ32" s="18" t="s">
        <v>1270</v>
      </c>
      <c r="AR32" s="18"/>
      <c r="AS32" s="17" t="s">
        <v>0</v>
      </c>
      <c r="AT32" s="17" t="s">
        <v>0</v>
      </c>
      <c r="AU32" s="17" t="s">
        <v>0</v>
      </c>
      <c r="AV32" s="17" t="s">
        <v>0</v>
      </c>
      <c r="AW32" s="18">
        <v>0</v>
      </c>
      <c r="AX32" s="17">
        <v>0</v>
      </c>
      <c r="AY32" s="17" t="s">
        <v>0</v>
      </c>
      <c r="AZ32" s="17">
        <v>0</v>
      </c>
      <c r="BA32" s="17">
        <v>0</v>
      </c>
      <c r="BB32" s="17" t="s">
        <v>94</v>
      </c>
      <c r="BC32" s="17" t="s">
        <v>0</v>
      </c>
      <c r="BD32" s="17" t="s">
        <v>0</v>
      </c>
      <c r="BE32" s="17" t="s">
        <v>0</v>
      </c>
      <c r="BF32" s="17" t="s">
        <v>0</v>
      </c>
    </row>
    <row r="33" spans="1:58" ht="17.850000000000001" customHeight="1">
      <c r="A33" s="17" t="s">
        <v>69</v>
      </c>
      <c r="B33" s="17">
        <v>30090748</v>
      </c>
      <c r="C33" s="17" t="s">
        <v>381</v>
      </c>
      <c r="D33" s="17" t="s">
        <v>382</v>
      </c>
      <c r="E33" s="22" t="s">
        <v>383</v>
      </c>
      <c r="F33" s="19" t="s">
        <v>384</v>
      </c>
      <c r="G33" s="19" t="s">
        <v>74</v>
      </c>
      <c r="H33" s="17" t="s">
        <v>60</v>
      </c>
      <c r="I33" s="19" t="s">
        <v>76</v>
      </c>
      <c r="J33" s="17" t="s">
        <v>77</v>
      </c>
      <c r="K33" s="19" t="s">
        <v>63</v>
      </c>
      <c r="L33" s="17" t="s">
        <v>64</v>
      </c>
      <c r="M33" s="17" t="s">
        <v>60</v>
      </c>
      <c r="N33" s="17" t="s">
        <v>65</v>
      </c>
      <c r="O33" s="17">
        <v>2010</v>
      </c>
      <c r="P33" s="17" t="s">
        <v>91</v>
      </c>
      <c r="Q33" s="20">
        <f>'[1]FEBE Academics 2024'!R31</f>
        <v>23131</v>
      </c>
      <c r="R33" s="21">
        <f ca="1">YEARFRAC(Q33,TODAY())</f>
        <v>63.263888888888886</v>
      </c>
      <c r="S33" s="20">
        <f>EDATE(Q33,12*65)</f>
        <v>46873</v>
      </c>
      <c r="T33" s="17">
        <v>30000294</v>
      </c>
      <c r="U33" s="17" t="s">
        <v>80</v>
      </c>
      <c r="V33" s="17" t="s">
        <v>81</v>
      </c>
      <c r="W33" s="17" t="s">
        <v>82</v>
      </c>
      <c r="X33" s="22" t="s">
        <v>385</v>
      </c>
      <c r="Y33" s="23">
        <v>45757</v>
      </c>
      <c r="Z33" s="22" t="s">
        <v>0</v>
      </c>
      <c r="AA33" s="22" t="s">
        <v>0</v>
      </c>
      <c r="AB33" s="22" t="s">
        <v>0</v>
      </c>
      <c r="AC33" s="22" t="s">
        <v>0</v>
      </c>
      <c r="AD33" s="22" t="s">
        <v>0</v>
      </c>
      <c r="AE33" s="17" t="s">
        <v>0</v>
      </c>
      <c r="AF33" s="17" t="s">
        <v>0</v>
      </c>
      <c r="AG33" s="17" t="s">
        <v>0</v>
      </c>
      <c r="AH33" s="17" t="s">
        <v>0</v>
      </c>
      <c r="AI33" s="17" t="s">
        <v>0</v>
      </c>
      <c r="AJ33" s="22">
        <v>0.5</v>
      </c>
      <c r="AK33" s="22">
        <v>0</v>
      </c>
      <c r="AL33" s="22">
        <v>0</v>
      </c>
      <c r="AM33" s="18">
        <v>0</v>
      </c>
      <c r="AN33" s="17"/>
      <c r="AO33" s="17" t="s">
        <v>0</v>
      </c>
      <c r="AP33" s="17" t="s">
        <v>0</v>
      </c>
      <c r="AQ33" s="18" t="s">
        <v>1270</v>
      </c>
      <c r="AR33" s="18" t="s">
        <v>1270</v>
      </c>
      <c r="AS33" s="17" t="s">
        <v>0</v>
      </c>
      <c r="AT33" s="17" t="s">
        <v>0</v>
      </c>
      <c r="AU33" s="17" t="s">
        <v>0</v>
      </c>
      <c r="AV33" s="17" t="s">
        <v>0</v>
      </c>
      <c r="AW33" s="18">
        <v>0</v>
      </c>
      <c r="AX33" s="55">
        <v>0</v>
      </c>
      <c r="AY33" s="17" t="s">
        <v>0</v>
      </c>
      <c r="AZ33" s="17">
        <v>0</v>
      </c>
      <c r="BA33" s="17">
        <v>0</v>
      </c>
      <c r="BB33" s="17" t="s">
        <v>94</v>
      </c>
      <c r="BC33" s="17" t="s">
        <v>0</v>
      </c>
      <c r="BD33" s="17" t="s">
        <v>0</v>
      </c>
      <c r="BE33" s="17" t="s">
        <v>0</v>
      </c>
      <c r="BF33" s="17" t="s">
        <v>0</v>
      </c>
    </row>
    <row r="34" spans="1:58" ht="17.850000000000001" customHeight="1">
      <c r="A34" s="17" t="s">
        <v>125</v>
      </c>
      <c r="B34" s="17">
        <v>30101611</v>
      </c>
      <c r="C34" s="17" t="s">
        <v>774</v>
      </c>
      <c r="D34" s="17" t="s">
        <v>775</v>
      </c>
      <c r="E34" s="22" t="s">
        <v>131</v>
      </c>
      <c r="F34" s="19" t="s">
        <v>76</v>
      </c>
      <c r="G34" s="19" t="s">
        <v>105</v>
      </c>
      <c r="H34" s="17" t="s">
        <v>776</v>
      </c>
      <c r="I34" s="19" t="s">
        <v>61</v>
      </c>
      <c r="J34" s="17" t="s">
        <v>197</v>
      </c>
      <c r="K34" s="19" t="s">
        <v>63</v>
      </c>
      <c r="L34" s="17" t="s">
        <v>78</v>
      </c>
      <c r="M34" s="17" t="s">
        <v>777</v>
      </c>
      <c r="N34" s="17" t="s">
        <v>65</v>
      </c>
      <c r="O34" s="17">
        <v>125</v>
      </c>
      <c r="P34" s="17" t="s">
        <v>130</v>
      </c>
      <c r="Q34" s="20">
        <f>'[1]FEBE Academics 2024'!R32</f>
        <v>24718</v>
      </c>
      <c r="R34" s="21">
        <f ca="1">YEARFRAC(Q34,TODAY())</f>
        <v>58.922222222222224</v>
      </c>
      <c r="S34" s="20">
        <f>EDATE(Q34,12*65)</f>
        <v>48460</v>
      </c>
      <c r="T34" s="17">
        <v>30082157</v>
      </c>
      <c r="U34" s="17" t="s">
        <v>105</v>
      </c>
      <c r="V34" s="17" t="s">
        <v>171</v>
      </c>
      <c r="W34" s="17" t="s">
        <v>172</v>
      </c>
      <c r="X34" s="22" t="s">
        <v>142</v>
      </c>
      <c r="Y34" s="23">
        <v>45757</v>
      </c>
      <c r="Z34" s="34" t="s">
        <v>133</v>
      </c>
      <c r="AA34" s="34" t="s">
        <v>133</v>
      </c>
      <c r="AB34" s="34" t="s">
        <v>133</v>
      </c>
      <c r="AC34" s="34" t="s">
        <v>133</v>
      </c>
      <c r="AD34" s="34" t="s">
        <v>133</v>
      </c>
      <c r="AE34" s="34" t="s">
        <v>133</v>
      </c>
      <c r="AF34" s="18" t="s">
        <v>0</v>
      </c>
      <c r="AG34" s="18" t="s">
        <v>0</v>
      </c>
      <c r="AH34" s="17" t="s">
        <v>0</v>
      </c>
      <c r="AI34" s="17" t="s">
        <v>0</v>
      </c>
      <c r="AJ34" s="22">
        <v>1.5</v>
      </c>
      <c r="AK34" s="36">
        <v>0.67</v>
      </c>
      <c r="AL34" s="22">
        <v>0</v>
      </c>
      <c r="AM34" s="129">
        <f>0.1667+0.1+0.1667+0.1429+0.1667+0.125</f>
        <v>0.86799999999999999</v>
      </c>
      <c r="AN34" s="114">
        <v>2.7639</v>
      </c>
      <c r="AO34" s="17" t="s">
        <v>0</v>
      </c>
      <c r="AP34" s="17" t="s">
        <v>0</v>
      </c>
      <c r="AQ34" s="27" t="s">
        <v>1273</v>
      </c>
      <c r="AR34" s="66" t="s">
        <v>200</v>
      </c>
      <c r="AS34" s="18" t="s">
        <v>0</v>
      </c>
      <c r="AT34" s="18" t="s">
        <v>0</v>
      </c>
      <c r="AU34" s="18" t="s">
        <v>0</v>
      </c>
      <c r="AV34" s="18" t="s">
        <v>0</v>
      </c>
      <c r="AW34" s="18">
        <v>26</v>
      </c>
      <c r="AX34" s="17">
        <v>56</v>
      </c>
      <c r="AY34" s="17" t="s">
        <v>0</v>
      </c>
      <c r="AZ34" s="17">
        <v>10</v>
      </c>
      <c r="BA34" s="17">
        <v>13</v>
      </c>
      <c r="BB34" s="18" t="s">
        <v>94</v>
      </c>
      <c r="BC34" s="18" t="s">
        <v>0</v>
      </c>
      <c r="BD34" s="18" t="s">
        <v>0</v>
      </c>
      <c r="BE34" s="18" t="s">
        <v>0</v>
      </c>
      <c r="BF34" s="18" t="s">
        <v>0</v>
      </c>
    </row>
    <row r="35" spans="1:58" ht="17.850000000000001" customHeight="1">
      <c r="A35" s="17" t="s">
        <v>95</v>
      </c>
      <c r="B35" s="17">
        <v>30002269</v>
      </c>
      <c r="C35" s="17" t="s">
        <v>1122</v>
      </c>
      <c r="D35" s="17" t="s">
        <v>1123</v>
      </c>
      <c r="E35" s="22" t="s">
        <v>1124</v>
      </c>
      <c r="F35" s="19" t="s">
        <v>120</v>
      </c>
      <c r="G35" s="19" t="s">
        <v>181</v>
      </c>
      <c r="H35" s="17" t="s">
        <v>60</v>
      </c>
      <c r="I35" s="19" t="s">
        <v>76</v>
      </c>
      <c r="J35" s="17" t="s">
        <v>62</v>
      </c>
      <c r="K35" s="19" t="s">
        <v>63</v>
      </c>
      <c r="L35" s="17" t="s">
        <v>78</v>
      </c>
      <c r="M35" s="17" t="s">
        <v>60</v>
      </c>
      <c r="N35" s="17" t="s">
        <v>373</v>
      </c>
      <c r="O35" s="17">
        <v>1012</v>
      </c>
      <c r="P35" s="17" t="s">
        <v>104</v>
      </c>
      <c r="Q35" s="20">
        <f>'[1]FEBE Academics 2024'!R33</f>
        <v>26946</v>
      </c>
      <c r="R35" s="21">
        <f ca="1">YEARFRAC(Q35,TODAY())</f>
        <v>52.822222222222223</v>
      </c>
      <c r="S35" s="20">
        <f>EDATE(Q35,12*65)</f>
        <v>50687</v>
      </c>
      <c r="T35" s="17">
        <v>30110521</v>
      </c>
      <c r="U35" s="17" t="s">
        <v>105</v>
      </c>
      <c r="V35" s="17" t="s">
        <v>106</v>
      </c>
      <c r="W35" s="17" t="s">
        <v>107</v>
      </c>
      <c r="X35" s="22" t="s">
        <v>356</v>
      </c>
      <c r="Y35" s="23">
        <v>45757</v>
      </c>
      <c r="Z35" s="52" t="s">
        <v>1125</v>
      </c>
      <c r="AA35" s="52">
        <v>2017</v>
      </c>
      <c r="AB35" s="34">
        <v>2024</v>
      </c>
      <c r="AC35" s="34" t="s">
        <v>85</v>
      </c>
      <c r="AD35" s="34" t="s">
        <v>0</v>
      </c>
      <c r="AE35" s="18" t="s">
        <v>0</v>
      </c>
      <c r="AF35" s="18" t="s">
        <v>0</v>
      </c>
      <c r="AG35" s="18" t="s">
        <v>0</v>
      </c>
      <c r="AH35" s="17" t="s">
        <v>0</v>
      </c>
      <c r="AI35" s="17" t="s">
        <v>0</v>
      </c>
      <c r="AJ35" s="22">
        <v>0.5</v>
      </c>
      <c r="AK35" s="22">
        <v>0</v>
      </c>
      <c r="AL35" s="22">
        <v>0</v>
      </c>
      <c r="AM35" s="43">
        <v>0.3</v>
      </c>
      <c r="AN35" s="22"/>
      <c r="AO35" s="17" t="s">
        <v>0</v>
      </c>
      <c r="AP35" s="17" t="s">
        <v>0</v>
      </c>
      <c r="AQ35" s="62"/>
      <c r="AR35" s="18" t="s">
        <v>1270</v>
      </c>
      <c r="AS35" s="18" t="s">
        <v>0</v>
      </c>
      <c r="AT35" s="18" t="s">
        <v>0</v>
      </c>
      <c r="AU35" s="18" t="s">
        <v>0</v>
      </c>
      <c r="AV35" s="18">
        <v>8</v>
      </c>
      <c r="AW35" s="18">
        <v>0</v>
      </c>
      <c r="AX35" s="55">
        <v>0</v>
      </c>
      <c r="AY35" s="17">
        <v>2</v>
      </c>
      <c r="AZ35" s="17">
        <v>3</v>
      </c>
      <c r="BA35" s="17">
        <v>2</v>
      </c>
      <c r="BB35" s="40" t="s">
        <v>1126</v>
      </c>
      <c r="BC35" s="18" t="s">
        <v>0</v>
      </c>
      <c r="BD35" s="18" t="s">
        <v>0</v>
      </c>
      <c r="BE35" s="18" t="s">
        <v>0</v>
      </c>
      <c r="BF35" s="18" t="s">
        <v>0</v>
      </c>
    </row>
    <row r="36" spans="1:58" ht="17.850000000000001" customHeight="1">
      <c r="A36" s="17" t="s">
        <v>125</v>
      </c>
      <c r="B36" s="17">
        <v>30019698</v>
      </c>
      <c r="C36" s="17" t="s">
        <v>747</v>
      </c>
      <c r="D36" s="17" t="s">
        <v>748</v>
      </c>
      <c r="E36" s="22" t="s">
        <v>749</v>
      </c>
      <c r="F36" s="19" t="s">
        <v>74</v>
      </c>
      <c r="G36" s="19" t="s">
        <v>105</v>
      </c>
      <c r="H36" s="17" t="s">
        <v>750</v>
      </c>
      <c r="I36" s="19" t="s">
        <v>76</v>
      </c>
      <c r="J36" s="17" t="s">
        <v>197</v>
      </c>
      <c r="K36" s="19" t="s">
        <v>63</v>
      </c>
      <c r="L36" s="17" t="s">
        <v>78</v>
      </c>
      <c r="M36" s="17" t="s">
        <v>112</v>
      </c>
      <c r="N36" s="17" t="s">
        <v>751</v>
      </c>
      <c r="O36" s="17">
        <v>125</v>
      </c>
      <c r="P36" s="17" t="s">
        <v>130</v>
      </c>
      <c r="Q36" s="20">
        <f>'[1]FEBE Academics 2024'!R34</f>
        <v>31219</v>
      </c>
      <c r="R36" s="21">
        <f ca="1">YEARFRAC(Q36,TODAY())</f>
        <v>41.12222222222222</v>
      </c>
      <c r="S36" s="20">
        <f>EDATE(Q36,12*65)</f>
        <v>54960</v>
      </c>
      <c r="T36" s="17">
        <v>30101611</v>
      </c>
      <c r="U36" s="17" t="s">
        <v>105</v>
      </c>
      <c r="V36" s="17" t="s">
        <v>76</v>
      </c>
      <c r="W36" s="17" t="s">
        <v>131</v>
      </c>
      <c r="X36" s="22" t="s">
        <v>132</v>
      </c>
      <c r="Y36" s="23">
        <v>45730</v>
      </c>
      <c r="Z36" s="34" t="s">
        <v>133</v>
      </c>
      <c r="AA36" s="34" t="s">
        <v>133</v>
      </c>
      <c r="AB36" s="34" t="s">
        <v>133</v>
      </c>
      <c r="AC36" s="34" t="s">
        <v>85</v>
      </c>
      <c r="AD36" s="34"/>
      <c r="AE36" s="18" t="s">
        <v>0</v>
      </c>
      <c r="AF36" s="18" t="s">
        <v>0</v>
      </c>
      <c r="AG36" s="18" t="s">
        <v>0</v>
      </c>
      <c r="AH36" s="17" t="s">
        <v>0</v>
      </c>
      <c r="AI36" s="17" t="s">
        <v>0</v>
      </c>
      <c r="AJ36" s="22">
        <v>1.5</v>
      </c>
      <c r="AK36" s="36">
        <v>0.42</v>
      </c>
      <c r="AL36" s="125">
        <v>0.75</v>
      </c>
      <c r="AM36" s="126">
        <f>0.3333+0.5+0.3333+0.2</f>
        <v>1.3665999999999998</v>
      </c>
      <c r="AN36" s="112">
        <v>0.33329999999999999</v>
      </c>
      <c r="AO36" s="17" t="s">
        <v>208</v>
      </c>
      <c r="AP36" s="27"/>
      <c r="AQ36" s="27" t="s">
        <v>1273</v>
      </c>
      <c r="AR36" s="18" t="s">
        <v>752</v>
      </c>
      <c r="AS36" s="18">
        <v>2020</v>
      </c>
      <c r="AT36" s="18">
        <v>2025</v>
      </c>
      <c r="AU36" s="18" t="s">
        <v>0</v>
      </c>
      <c r="AV36" s="18">
        <v>591</v>
      </c>
      <c r="AW36" s="18">
        <v>71</v>
      </c>
      <c r="AX36" s="55">
        <v>2</v>
      </c>
      <c r="AY36" s="17">
        <v>15</v>
      </c>
      <c r="AZ36" s="17">
        <v>16</v>
      </c>
      <c r="BA36" s="17">
        <v>18</v>
      </c>
      <c r="BB36" s="18" t="s">
        <v>753</v>
      </c>
      <c r="BC36" s="18">
        <v>3</v>
      </c>
      <c r="BD36" s="18" t="s">
        <v>0</v>
      </c>
      <c r="BE36" s="18">
        <v>13</v>
      </c>
      <c r="BF36" s="18" t="s">
        <v>0</v>
      </c>
    </row>
    <row r="37" spans="1:58" ht="17.850000000000001" customHeight="1">
      <c r="A37" s="27" t="s">
        <v>125</v>
      </c>
      <c r="B37" s="27">
        <v>30090902</v>
      </c>
      <c r="C37" s="27" t="s">
        <v>437</v>
      </c>
      <c r="D37" s="27" t="s">
        <v>438</v>
      </c>
      <c r="E37" s="27" t="s">
        <v>439</v>
      </c>
      <c r="F37" s="29" t="s">
        <v>440</v>
      </c>
      <c r="G37" s="29" t="s">
        <v>74</v>
      </c>
      <c r="H37" s="27" t="s">
        <v>60</v>
      </c>
      <c r="I37" s="29" t="s">
        <v>76</v>
      </c>
      <c r="J37" s="27" t="s">
        <v>62</v>
      </c>
      <c r="K37" s="29" t="s">
        <v>120</v>
      </c>
      <c r="L37" s="27" t="s">
        <v>78</v>
      </c>
      <c r="M37" s="27" t="s">
        <v>164</v>
      </c>
      <c r="N37" s="27" t="s">
        <v>129</v>
      </c>
      <c r="O37" s="27">
        <v>119</v>
      </c>
      <c r="P37" s="27" t="s">
        <v>394</v>
      </c>
      <c r="Q37" s="41">
        <v>31239</v>
      </c>
      <c r="R37" s="27"/>
      <c r="S37" s="27"/>
      <c r="T37" s="27">
        <v>30101611</v>
      </c>
      <c r="U37" s="27" t="s">
        <v>105</v>
      </c>
      <c r="V37" s="27" t="s">
        <v>76</v>
      </c>
      <c r="W37" s="27" t="s">
        <v>131</v>
      </c>
      <c r="X37" s="27" t="s">
        <v>83</v>
      </c>
      <c r="Y37" s="42">
        <v>42736</v>
      </c>
      <c r="Z37" s="27" t="s">
        <v>133</v>
      </c>
      <c r="AA37" s="27" t="s">
        <v>133</v>
      </c>
      <c r="AB37" s="27" t="s">
        <v>133</v>
      </c>
      <c r="AC37" s="27" t="s">
        <v>133</v>
      </c>
      <c r="AD37" s="32" t="s">
        <v>133</v>
      </c>
      <c r="AE37" s="27" t="s">
        <v>133</v>
      </c>
      <c r="AF37" s="27"/>
      <c r="AG37" s="27"/>
      <c r="AH37" s="27"/>
      <c r="AI37" s="27"/>
      <c r="AJ37" s="27"/>
      <c r="AK37" s="27"/>
      <c r="AL37" s="27"/>
      <c r="AM37" s="27"/>
      <c r="AN37" s="17"/>
      <c r="AO37" s="27"/>
      <c r="AP37" s="27"/>
      <c r="AQ37" s="62"/>
      <c r="AR37" s="191" t="s">
        <v>1270</v>
      </c>
      <c r="AS37" s="27"/>
      <c r="AT37" s="27"/>
      <c r="AU37" s="27"/>
      <c r="AV37" s="27"/>
      <c r="AW37" s="27"/>
      <c r="AX37" s="27"/>
      <c r="AY37" s="27"/>
      <c r="AZ37" s="27"/>
      <c r="BA37" s="27"/>
      <c r="BB37" s="27"/>
      <c r="BC37" s="27"/>
      <c r="BD37" s="27"/>
      <c r="BE37" s="27"/>
      <c r="BF37" s="27"/>
    </row>
    <row r="38" spans="1:58" s="47" customFormat="1" ht="17.850000000000001" customHeight="1">
      <c r="A38" s="27" t="s">
        <v>135</v>
      </c>
      <c r="B38" s="27">
        <v>30106108</v>
      </c>
      <c r="C38" s="27" t="s">
        <v>441</v>
      </c>
      <c r="D38" s="27" t="s">
        <v>442</v>
      </c>
      <c r="E38" s="27" t="s">
        <v>443</v>
      </c>
      <c r="F38" s="29" t="s">
        <v>444</v>
      </c>
      <c r="G38" s="29" t="s">
        <v>74</v>
      </c>
      <c r="H38" s="27" t="s">
        <v>258</v>
      </c>
      <c r="I38" s="29" t="s">
        <v>76</v>
      </c>
      <c r="J38" s="27" t="s">
        <v>101</v>
      </c>
      <c r="K38" s="29" t="s">
        <v>120</v>
      </c>
      <c r="L38" s="27" t="s">
        <v>78</v>
      </c>
      <c r="M38" s="27" t="s">
        <v>445</v>
      </c>
      <c r="N38" s="27" t="s">
        <v>65</v>
      </c>
      <c r="O38" s="27"/>
      <c r="P38" s="27"/>
      <c r="Q38" s="44">
        <v>31694</v>
      </c>
      <c r="R38" s="27"/>
      <c r="S38" s="27"/>
      <c r="T38" s="27"/>
      <c r="U38" s="27" t="s">
        <v>59</v>
      </c>
      <c r="V38" s="27" t="s">
        <v>99</v>
      </c>
      <c r="W38" s="27" t="s">
        <v>141</v>
      </c>
      <c r="X38" s="56" t="s">
        <v>446</v>
      </c>
      <c r="Y38" s="57">
        <v>39814</v>
      </c>
      <c r="Z38" s="27"/>
      <c r="AA38" s="27"/>
      <c r="AB38" s="27"/>
      <c r="AC38" s="27"/>
      <c r="AD38" s="27"/>
      <c r="AE38" s="27"/>
      <c r="AF38" s="27"/>
      <c r="AG38" s="27"/>
      <c r="AH38" s="27"/>
      <c r="AI38" s="27"/>
      <c r="AJ38" s="27"/>
      <c r="AK38" s="27"/>
      <c r="AL38" s="27"/>
      <c r="AM38" s="27"/>
      <c r="AN38" s="17"/>
      <c r="AO38" s="27"/>
      <c r="AP38" s="27"/>
      <c r="AQ38" s="62"/>
      <c r="AR38" s="18" t="s">
        <v>1270</v>
      </c>
      <c r="AS38" s="27"/>
      <c r="AT38" s="27"/>
      <c r="AU38" s="27"/>
      <c r="AV38" s="27"/>
      <c r="AW38" s="27"/>
      <c r="AX38" s="27"/>
      <c r="AY38" s="27"/>
      <c r="AZ38" s="27"/>
      <c r="BA38" s="27"/>
      <c r="BB38" s="27"/>
      <c r="BC38" s="27"/>
      <c r="BD38" s="27"/>
      <c r="BE38" s="27"/>
      <c r="BF38" s="27"/>
    </row>
    <row r="39" spans="1:58" ht="17.850000000000001" customHeight="1">
      <c r="A39" s="17" t="s">
        <v>135</v>
      </c>
      <c r="B39" s="17">
        <v>30079753</v>
      </c>
      <c r="C39" s="17" t="s">
        <v>254</v>
      </c>
      <c r="D39" s="17" t="s">
        <v>255</v>
      </c>
      <c r="E39" s="22" t="s">
        <v>256</v>
      </c>
      <c r="F39" s="19" t="s">
        <v>257</v>
      </c>
      <c r="G39" s="19" t="s">
        <v>59</v>
      </c>
      <c r="H39" s="17" t="s">
        <v>258</v>
      </c>
      <c r="I39" s="19" t="s">
        <v>61</v>
      </c>
      <c r="J39" s="17" t="s">
        <v>62</v>
      </c>
      <c r="K39" s="19" t="s">
        <v>63</v>
      </c>
      <c r="L39" s="17" t="s">
        <v>78</v>
      </c>
      <c r="M39" s="17" t="s">
        <v>258</v>
      </c>
      <c r="N39" s="17" t="s">
        <v>65</v>
      </c>
      <c r="O39" s="17">
        <v>531</v>
      </c>
      <c r="P39" s="17" t="s">
        <v>213</v>
      </c>
      <c r="Q39" s="20">
        <f>'[1]FEBE Academics 2024'!R35</f>
        <v>29578</v>
      </c>
      <c r="R39" s="21">
        <f ca="1">YEARFRAC(Q39,TODAY())</f>
        <v>45.616666666666667</v>
      </c>
      <c r="S39" s="20">
        <f>EDATE(Q39,12*65)</f>
        <v>53319</v>
      </c>
      <c r="T39" s="17">
        <v>30015698</v>
      </c>
      <c r="U39" s="17" t="s">
        <v>190</v>
      </c>
      <c r="V39" s="17" t="s">
        <v>191</v>
      </c>
      <c r="W39" s="17" t="s">
        <v>192</v>
      </c>
      <c r="X39" s="34" t="s">
        <v>259</v>
      </c>
      <c r="Y39" s="23">
        <v>46015</v>
      </c>
      <c r="Z39" s="34" t="s">
        <v>0</v>
      </c>
      <c r="AA39" s="34" t="s">
        <v>0</v>
      </c>
      <c r="AB39" s="34" t="s">
        <v>0</v>
      </c>
      <c r="AC39" s="34" t="s">
        <v>0</v>
      </c>
      <c r="AD39" s="34" t="s">
        <v>0</v>
      </c>
      <c r="AE39" s="18" t="s">
        <v>0</v>
      </c>
      <c r="AF39" s="18" t="s">
        <v>0</v>
      </c>
      <c r="AG39" s="18" t="s">
        <v>0</v>
      </c>
      <c r="AH39" s="17" t="s">
        <v>0</v>
      </c>
      <c r="AI39" s="17" t="s">
        <v>0</v>
      </c>
      <c r="AJ39" s="22">
        <v>0.25</v>
      </c>
      <c r="AK39" s="22">
        <v>0</v>
      </c>
      <c r="AL39" s="22">
        <v>0</v>
      </c>
      <c r="AM39" s="22">
        <v>0</v>
      </c>
      <c r="AN39" s="22">
        <v>0.1</v>
      </c>
      <c r="AO39" s="17" t="s">
        <v>0</v>
      </c>
      <c r="AP39" s="17" t="s">
        <v>0</v>
      </c>
      <c r="AQ39" s="18" t="s">
        <v>1270</v>
      </c>
      <c r="AR39" s="190"/>
      <c r="AS39" s="18" t="s">
        <v>0</v>
      </c>
      <c r="AT39" s="18" t="s">
        <v>0</v>
      </c>
      <c r="AU39" s="18" t="s">
        <v>0</v>
      </c>
      <c r="AV39" s="18" t="s">
        <v>0</v>
      </c>
      <c r="AW39" s="18">
        <v>0</v>
      </c>
      <c r="AX39" s="55">
        <v>0</v>
      </c>
      <c r="AY39" s="17" t="s">
        <v>0</v>
      </c>
      <c r="AZ39" s="17">
        <v>0</v>
      </c>
      <c r="BA39" s="17">
        <v>0</v>
      </c>
      <c r="BB39" s="18" t="s">
        <v>94</v>
      </c>
      <c r="BC39" s="18" t="s">
        <v>0</v>
      </c>
      <c r="BD39" s="18" t="s">
        <v>0</v>
      </c>
      <c r="BE39" s="18" t="s">
        <v>0</v>
      </c>
      <c r="BF39" s="18" t="s">
        <v>0</v>
      </c>
    </row>
    <row r="40" spans="1:58" ht="17.850000000000001" customHeight="1">
      <c r="A40" s="17" t="s">
        <v>69</v>
      </c>
      <c r="B40" s="17">
        <v>30003050</v>
      </c>
      <c r="C40" s="17" t="s">
        <v>557</v>
      </c>
      <c r="D40" s="17" t="s">
        <v>558</v>
      </c>
      <c r="E40" s="22" t="s">
        <v>559</v>
      </c>
      <c r="F40" s="19" t="s">
        <v>560</v>
      </c>
      <c r="G40" s="19" t="s">
        <v>304</v>
      </c>
      <c r="H40" s="17" t="s">
        <v>561</v>
      </c>
      <c r="I40" s="19" t="s">
        <v>76</v>
      </c>
      <c r="J40" s="17" t="s">
        <v>62</v>
      </c>
      <c r="K40" s="19" t="s">
        <v>63</v>
      </c>
      <c r="L40" s="17" t="s">
        <v>78</v>
      </c>
      <c r="M40" s="17" t="s">
        <v>112</v>
      </c>
      <c r="N40" s="17" t="s">
        <v>562</v>
      </c>
      <c r="O40" s="17">
        <v>580</v>
      </c>
      <c r="P40" s="17" t="s">
        <v>79</v>
      </c>
      <c r="Q40" s="37">
        <f>'[1]FEBE Academics 2024'!R36</f>
        <v>23106</v>
      </c>
      <c r="R40" s="38">
        <f ca="1">YEARFRAC(Q40,TODAY())</f>
        <v>63.333333333333336</v>
      </c>
      <c r="S40" s="37">
        <f>EDATE(Q40,12*65)</f>
        <v>46848</v>
      </c>
      <c r="T40" s="17">
        <v>30000294</v>
      </c>
      <c r="U40" s="17" t="s">
        <v>80</v>
      </c>
      <c r="V40" s="17" t="s">
        <v>81</v>
      </c>
      <c r="W40" s="17" t="s">
        <v>82</v>
      </c>
      <c r="X40" s="22" t="s">
        <v>108</v>
      </c>
      <c r="Y40" s="23">
        <v>35947</v>
      </c>
      <c r="Z40" s="22" t="s">
        <v>0</v>
      </c>
      <c r="AA40" s="22" t="s">
        <v>0</v>
      </c>
      <c r="AB40" s="22" t="s">
        <v>0</v>
      </c>
      <c r="AC40" s="22" t="s">
        <v>0</v>
      </c>
      <c r="AD40" s="22" t="s">
        <v>0</v>
      </c>
      <c r="AE40" s="17" t="s">
        <v>0</v>
      </c>
      <c r="AF40" s="17" t="s">
        <v>0</v>
      </c>
      <c r="AG40" s="17" t="s">
        <v>0</v>
      </c>
      <c r="AH40" s="17" t="s">
        <v>0</v>
      </c>
      <c r="AI40" s="55" t="s">
        <v>563</v>
      </c>
      <c r="AJ40" s="22">
        <v>1.5</v>
      </c>
      <c r="AK40" s="22">
        <v>0</v>
      </c>
      <c r="AL40" s="22">
        <v>0</v>
      </c>
      <c r="AM40" s="17">
        <f>0.2+0.2+0.05+0.25+0.25+0.17+0.17+0.25+0.17+0.17+0.25</f>
        <v>2.13</v>
      </c>
      <c r="AN40" s="17">
        <v>4.0750999999999999</v>
      </c>
      <c r="AO40" s="17" t="s">
        <v>0</v>
      </c>
      <c r="AP40" s="17" t="s">
        <v>0</v>
      </c>
      <c r="AQ40" s="27" t="s">
        <v>1273</v>
      </c>
      <c r="AR40" s="18" t="s">
        <v>200</v>
      </c>
      <c r="AS40" s="17" t="s">
        <v>0</v>
      </c>
      <c r="AT40" s="17" t="s">
        <v>0</v>
      </c>
      <c r="AU40" s="17" t="s">
        <v>0</v>
      </c>
      <c r="AV40" s="17" t="s">
        <v>0</v>
      </c>
      <c r="AW40" s="18">
        <v>19</v>
      </c>
      <c r="AX40" s="17">
        <v>44</v>
      </c>
      <c r="AY40" s="17" t="s">
        <v>0</v>
      </c>
      <c r="AZ40" s="17">
        <v>22</v>
      </c>
      <c r="BA40" s="107">
        <v>19</v>
      </c>
      <c r="BB40" s="17"/>
      <c r="BC40" s="17" t="s">
        <v>0</v>
      </c>
      <c r="BD40" s="17" t="s">
        <v>0</v>
      </c>
      <c r="BE40" s="17" t="s">
        <v>0</v>
      </c>
      <c r="BF40" s="17" t="s">
        <v>0</v>
      </c>
    </row>
    <row r="41" spans="1:58" s="69" customFormat="1" ht="17.850000000000001" customHeight="1">
      <c r="A41" s="17" t="s">
        <v>125</v>
      </c>
      <c r="B41" s="17">
        <v>30084296</v>
      </c>
      <c r="C41" s="17" t="s">
        <v>390</v>
      </c>
      <c r="D41" s="17" t="s">
        <v>391</v>
      </c>
      <c r="E41" s="22" t="s">
        <v>141</v>
      </c>
      <c r="F41" s="19" t="s">
        <v>392</v>
      </c>
      <c r="G41" s="19" t="s">
        <v>80</v>
      </c>
      <c r="H41" s="17" t="s">
        <v>393</v>
      </c>
      <c r="I41" s="19" t="s">
        <v>61</v>
      </c>
      <c r="J41" s="17" t="s">
        <v>77</v>
      </c>
      <c r="K41" s="19" t="s">
        <v>63</v>
      </c>
      <c r="L41" s="17" t="s">
        <v>78</v>
      </c>
      <c r="M41" s="17" t="s">
        <v>102</v>
      </c>
      <c r="N41" s="17" t="s">
        <v>65</v>
      </c>
      <c r="O41" s="17">
        <v>119</v>
      </c>
      <c r="P41" s="17" t="s">
        <v>394</v>
      </c>
      <c r="Q41" s="20">
        <f>'[1]FEBE Academics 2024'!R38</f>
        <v>34463</v>
      </c>
      <c r="R41" s="21">
        <f ca="1">YEARFRAC(Q41,TODAY())</f>
        <v>32.238888888888887</v>
      </c>
      <c r="S41" s="20">
        <f>EDATE(Q41,12*65)</f>
        <v>58204</v>
      </c>
      <c r="T41" s="17">
        <v>30101611</v>
      </c>
      <c r="U41" s="17" t="s">
        <v>105</v>
      </c>
      <c r="V41" s="17" t="s">
        <v>76</v>
      </c>
      <c r="W41" s="17" t="s">
        <v>131</v>
      </c>
      <c r="X41" s="22" t="s">
        <v>395</v>
      </c>
      <c r="Y41" s="23">
        <v>45740</v>
      </c>
      <c r="Z41" s="34" t="s">
        <v>133</v>
      </c>
      <c r="AA41" s="34" t="s">
        <v>133</v>
      </c>
      <c r="AB41" s="34" t="s">
        <v>133</v>
      </c>
      <c r="AC41" s="34" t="s">
        <v>133</v>
      </c>
      <c r="AD41" s="34" t="s">
        <v>133</v>
      </c>
      <c r="AE41" s="34" t="s">
        <v>133</v>
      </c>
      <c r="AF41" s="18" t="s">
        <v>0</v>
      </c>
      <c r="AG41" s="18" t="s">
        <v>0</v>
      </c>
      <c r="AH41" s="17" t="s">
        <v>0</v>
      </c>
      <c r="AI41" s="17" t="s">
        <v>0</v>
      </c>
      <c r="AJ41" s="22">
        <v>1</v>
      </c>
      <c r="AK41" s="22">
        <v>0</v>
      </c>
      <c r="AL41" s="22">
        <v>0</v>
      </c>
      <c r="AM41" s="25">
        <v>0</v>
      </c>
      <c r="AN41" s="25">
        <v>0.58330000000000004</v>
      </c>
      <c r="AO41" s="17" t="s">
        <v>0</v>
      </c>
      <c r="AP41" s="17" t="s">
        <v>0</v>
      </c>
      <c r="AQ41" s="18" t="s">
        <v>1270</v>
      </c>
      <c r="AR41" s="66" t="s">
        <v>275</v>
      </c>
      <c r="AS41" s="18" t="s">
        <v>0</v>
      </c>
      <c r="AT41" s="18" t="s">
        <v>0</v>
      </c>
      <c r="AU41" s="18" t="s">
        <v>0</v>
      </c>
      <c r="AV41" s="18">
        <v>197</v>
      </c>
      <c r="AW41" s="18">
        <v>0</v>
      </c>
      <c r="AX41" s="17">
        <v>0</v>
      </c>
      <c r="AY41" s="17">
        <v>6</v>
      </c>
      <c r="AZ41" s="17">
        <v>6</v>
      </c>
      <c r="BA41" s="17">
        <v>4</v>
      </c>
      <c r="BB41" s="18" t="s">
        <v>396</v>
      </c>
      <c r="BC41" s="18">
        <v>2</v>
      </c>
      <c r="BD41" s="18">
        <v>1</v>
      </c>
      <c r="BE41" s="18">
        <v>3</v>
      </c>
      <c r="BF41" s="18" t="s">
        <v>0</v>
      </c>
    </row>
    <row r="42" spans="1:58" ht="17.850000000000001" customHeight="1">
      <c r="A42" s="27" t="s">
        <v>125</v>
      </c>
      <c r="B42" s="27">
        <v>30095818</v>
      </c>
      <c r="C42" s="27" t="s">
        <v>411</v>
      </c>
      <c r="D42" s="27" t="s">
        <v>412</v>
      </c>
      <c r="E42" s="27" t="s">
        <v>413</v>
      </c>
      <c r="F42" s="29" t="s">
        <v>414</v>
      </c>
      <c r="G42" s="29" t="s">
        <v>74</v>
      </c>
      <c r="H42" s="27" t="s">
        <v>60</v>
      </c>
      <c r="I42" s="29" t="s">
        <v>76</v>
      </c>
      <c r="J42" s="27" t="s">
        <v>62</v>
      </c>
      <c r="K42" s="29" t="s">
        <v>63</v>
      </c>
      <c r="L42" s="27" t="s">
        <v>78</v>
      </c>
      <c r="M42" s="27" t="s">
        <v>415</v>
      </c>
      <c r="N42" s="27" t="s">
        <v>122</v>
      </c>
      <c r="O42" s="27">
        <v>1012</v>
      </c>
      <c r="P42" s="27" t="s">
        <v>104</v>
      </c>
      <c r="Q42" s="89">
        <v>30179</v>
      </c>
      <c r="R42" s="90">
        <f ca="1">DATEDIF(Q42, TODAY(), "Y")</f>
        <v>43</v>
      </c>
      <c r="S42" s="30">
        <f>EOMONTH(Q42, 65*12)</f>
        <v>53935</v>
      </c>
      <c r="T42" s="27">
        <v>30101611</v>
      </c>
      <c r="U42" s="35" t="s">
        <v>105</v>
      </c>
      <c r="V42" s="35" t="s">
        <v>76</v>
      </c>
      <c r="W42" s="35" t="s">
        <v>131</v>
      </c>
      <c r="X42" s="27" t="s">
        <v>416</v>
      </c>
      <c r="Y42" s="91">
        <v>44197</v>
      </c>
      <c r="Z42" s="27" t="s">
        <v>417</v>
      </c>
      <c r="AA42" s="27">
        <v>2021</v>
      </c>
      <c r="AB42" s="27"/>
      <c r="AC42" s="27" t="s">
        <v>418</v>
      </c>
      <c r="AD42" s="32" t="s">
        <v>238</v>
      </c>
      <c r="AE42" s="27"/>
      <c r="AF42" s="27"/>
      <c r="AG42" s="27"/>
      <c r="AH42" s="27"/>
      <c r="AI42" s="27"/>
      <c r="AJ42" s="27"/>
      <c r="AK42" s="27"/>
      <c r="AL42" s="27"/>
      <c r="AM42" s="27"/>
      <c r="AN42" s="17"/>
      <c r="AO42" s="27"/>
      <c r="AP42" s="27"/>
      <c r="AQ42" s="17"/>
      <c r="AR42" s="18" t="s">
        <v>1270</v>
      </c>
      <c r="AS42" s="27"/>
      <c r="AT42" s="27"/>
      <c r="AU42" s="27"/>
      <c r="AV42" s="27"/>
      <c r="AW42" s="27"/>
      <c r="AX42" s="27"/>
      <c r="AY42" s="27"/>
      <c r="AZ42" s="27"/>
      <c r="BA42" s="27"/>
      <c r="BB42" s="27"/>
      <c r="BC42" s="27"/>
      <c r="BD42" s="27"/>
      <c r="BE42" s="27"/>
      <c r="BF42" s="27"/>
    </row>
    <row r="43" spans="1:58" ht="17.850000000000001" customHeight="1">
      <c r="A43" s="27" t="s">
        <v>54</v>
      </c>
      <c r="B43" s="27">
        <v>30003602</v>
      </c>
      <c r="C43" s="27" t="s">
        <v>917</v>
      </c>
      <c r="D43" s="27" t="s">
        <v>918</v>
      </c>
      <c r="E43" s="32" t="s">
        <v>919</v>
      </c>
      <c r="F43" s="29" t="s">
        <v>901</v>
      </c>
      <c r="G43" s="29" t="s">
        <v>80</v>
      </c>
      <c r="H43" s="27" t="s">
        <v>60</v>
      </c>
      <c r="I43" s="29" t="s">
        <v>76</v>
      </c>
      <c r="J43" s="27" t="s">
        <v>62</v>
      </c>
      <c r="K43" s="29" t="s">
        <v>120</v>
      </c>
      <c r="L43" s="27" t="s">
        <v>64</v>
      </c>
      <c r="M43" s="27" t="s">
        <v>60</v>
      </c>
      <c r="N43" s="27" t="s">
        <v>65</v>
      </c>
      <c r="O43" s="27" t="s">
        <v>0</v>
      </c>
      <c r="P43" s="27" t="s">
        <v>0</v>
      </c>
      <c r="Q43" s="30">
        <f>'[1]FEBE Academics 2024'!R39</f>
        <v>30390</v>
      </c>
      <c r="R43" s="31">
        <f ca="1">YEARFRAC(Q43,TODAY())</f>
        <v>43.388888888888886</v>
      </c>
      <c r="S43" s="30">
        <f>EDATE(Q43,12*65)</f>
        <v>54132</v>
      </c>
      <c r="T43" s="27">
        <v>30007204</v>
      </c>
      <c r="U43" s="27" t="s">
        <v>59</v>
      </c>
      <c r="V43" s="27" t="s">
        <v>66</v>
      </c>
      <c r="W43" s="27" t="s">
        <v>67</v>
      </c>
      <c r="X43" s="32" t="s">
        <v>596</v>
      </c>
      <c r="Y43" s="33">
        <v>45735</v>
      </c>
      <c r="Z43" s="32" t="s">
        <v>0</v>
      </c>
      <c r="AA43" s="32" t="s">
        <v>0</v>
      </c>
      <c r="AB43" s="32" t="s">
        <v>0</v>
      </c>
      <c r="AC43" s="32" t="s">
        <v>0</v>
      </c>
      <c r="AD43" s="32" t="s">
        <v>0</v>
      </c>
      <c r="AE43" s="27" t="s">
        <v>0</v>
      </c>
      <c r="AF43" s="27" t="s">
        <v>0</v>
      </c>
      <c r="AG43" s="27" t="s">
        <v>0</v>
      </c>
      <c r="AH43" s="27" t="s">
        <v>0</v>
      </c>
      <c r="AI43" s="27" t="s">
        <v>0</v>
      </c>
      <c r="AJ43" s="32">
        <v>0.5</v>
      </c>
      <c r="AK43" s="32">
        <v>0</v>
      </c>
      <c r="AL43" s="32">
        <v>0</v>
      </c>
      <c r="AM43" s="25">
        <v>0</v>
      </c>
      <c r="AN43" s="25"/>
      <c r="AO43" s="27" t="s">
        <v>0</v>
      </c>
      <c r="AP43" s="27" t="s">
        <v>0</v>
      </c>
      <c r="AQ43" s="62"/>
      <c r="AR43" s="18" t="s">
        <v>1270</v>
      </c>
      <c r="AS43" s="27" t="s">
        <v>0</v>
      </c>
      <c r="AT43" s="27" t="s">
        <v>0</v>
      </c>
      <c r="AU43" s="27" t="s">
        <v>0</v>
      </c>
      <c r="AV43" s="27" t="s">
        <v>0</v>
      </c>
      <c r="AW43" s="27">
        <v>1</v>
      </c>
      <c r="AX43" s="17">
        <v>0</v>
      </c>
      <c r="AY43" s="17" t="s">
        <v>0</v>
      </c>
      <c r="AZ43" s="17">
        <v>5</v>
      </c>
      <c r="BA43" s="17">
        <v>5</v>
      </c>
      <c r="BB43" s="27" t="s">
        <v>94</v>
      </c>
      <c r="BC43" s="39" t="s">
        <v>0</v>
      </c>
      <c r="BD43" s="39" t="s">
        <v>0</v>
      </c>
      <c r="BE43" s="39" t="s">
        <v>0</v>
      </c>
      <c r="BF43" s="39" t="s">
        <v>0</v>
      </c>
    </row>
    <row r="44" spans="1:58" s="47" customFormat="1" ht="17.850000000000001" customHeight="1">
      <c r="A44" s="17" t="s">
        <v>115</v>
      </c>
      <c r="B44" s="17">
        <v>30003715</v>
      </c>
      <c r="C44" s="17" t="s">
        <v>913</v>
      </c>
      <c r="D44" s="17" t="s">
        <v>914</v>
      </c>
      <c r="E44" s="22" t="s">
        <v>915</v>
      </c>
      <c r="F44" s="19" t="s">
        <v>901</v>
      </c>
      <c r="G44" s="19" t="s">
        <v>59</v>
      </c>
      <c r="H44" s="17" t="s">
        <v>60</v>
      </c>
      <c r="I44" s="19" t="s">
        <v>61</v>
      </c>
      <c r="J44" s="17" t="s">
        <v>101</v>
      </c>
      <c r="K44" s="19" t="s">
        <v>63</v>
      </c>
      <c r="L44" s="17" t="s">
        <v>78</v>
      </c>
      <c r="M44" s="17" t="s">
        <v>60</v>
      </c>
      <c r="N44" s="17" t="s">
        <v>65</v>
      </c>
      <c r="O44" s="17">
        <v>110</v>
      </c>
      <c r="P44" s="17" t="s">
        <v>380</v>
      </c>
      <c r="Q44" s="20">
        <f>'[1]FEBE Academics 2024'!R40</f>
        <v>29123</v>
      </c>
      <c r="R44" s="21">
        <f ca="1">YEARFRAC(Q44,TODAY())</f>
        <v>46.861111111111114</v>
      </c>
      <c r="S44" s="20">
        <f>EDATE(Q44,12*65)</f>
        <v>52865</v>
      </c>
      <c r="T44" s="17">
        <v>30097178</v>
      </c>
      <c r="U44" s="17" t="s">
        <v>105</v>
      </c>
      <c r="V44" s="17" t="s">
        <v>66</v>
      </c>
      <c r="W44" s="17" t="s">
        <v>123</v>
      </c>
      <c r="X44" s="22" t="s">
        <v>916</v>
      </c>
      <c r="Y44" s="23">
        <v>45992</v>
      </c>
      <c r="Z44" s="22" t="s">
        <v>0</v>
      </c>
      <c r="AA44" s="22" t="s">
        <v>0</v>
      </c>
      <c r="AB44" s="22" t="s">
        <v>0</v>
      </c>
      <c r="AC44" s="22" t="s">
        <v>0</v>
      </c>
      <c r="AD44" s="22" t="s">
        <v>0</v>
      </c>
      <c r="AE44" s="17" t="s">
        <v>0</v>
      </c>
      <c r="AF44" s="17" t="s">
        <v>0</v>
      </c>
      <c r="AG44" s="17" t="s">
        <v>0</v>
      </c>
      <c r="AH44" s="17" t="s">
        <v>0</v>
      </c>
      <c r="AI44" s="17" t="s">
        <v>0</v>
      </c>
      <c r="AJ44" s="22">
        <v>0.5</v>
      </c>
      <c r="AK44" s="22">
        <v>0</v>
      </c>
      <c r="AL44" s="22">
        <v>0</v>
      </c>
      <c r="AM44" s="25">
        <v>0</v>
      </c>
      <c r="AN44" s="25"/>
      <c r="AO44" s="17" t="s">
        <v>0</v>
      </c>
      <c r="AP44" s="17" t="s">
        <v>0</v>
      </c>
      <c r="AQ44" s="17"/>
      <c r="AR44" s="191" t="s">
        <v>1270</v>
      </c>
      <c r="AS44" s="17" t="s">
        <v>0</v>
      </c>
      <c r="AT44" s="17" t="s">
        <v>0</v>
      </c>
      <c r="AU44" s="17" t="s">
        <v>0</v>
      </c>
      <c r="AV44" s="17" t="s">
        <v>0</v>
      </c>
      <c r="AW44" s="18">
        <v>0</v>
      </c>
      <c r="AX44" s="17">
        <v>0</v>
      </c>
      <c r="AY44" s="17">
        <v>0</v>
      </c>
      <c r="AZ44" s="17">
        <v>0</v>
      </c>
      <c r="BA44" s="17">
        <v>0</v>
      </c>
      <c r="BB44" s="17" t="s">
        <v>94</v>
      </c>
      <c r="BC44" s="17" t="s">
        <v>0</v>
      </c>
      <c r="BD44" s="17" t="s">
        <v>0</v>
      </c>
      <c r="BE44" s="17" t="s">
        <v>0</v>
      </c>
      <c r="BF44" s="17" t="s">
        <v>0</v>
      </c>
    </row>
    <row r="45" spans="1:58" s="47" customFormat="1" ht="17.850000000000001" customHeight="1">
      <c r="A45" s="17" t="s">
        <v>69</v>
      </c>
      <c r="B45" s="17">
        <v>30003886</v>
      </c>
      <c r="C45" s="17" t="s">
        <v>939</v>
      </c>
      <c r="D45" s="17" t="s">
        <v>940</v>
      </c>
      <c r="E45" s="22" t="s">
        <v>941</v>
      </c>
      <c r="F45" s="19" t="s">
        <v>942</v>
      </c>
      <c r="G45" s="19" t="s">
        <v>80</v>
      </c>
      <c r="H45" s="17" t="s">
        <v>60</v>
      </c>
      <c r="I45" s="19" t="s">
        <v>76</v>
      </c>
      <c r="J45" s="17" t="s">
        <v>62</v>
      </c>
      <c r="K45" s="19" t="s">
        <v>63</v>
      </c>
      <c r="L45" s="17" t="s">
        <v>78</v>
      </c>
      <c r="M45" s="17" t="s">
        <v>60</v>
      </c>
      <c r="N45" s="17" t="s">
        <v>65</v>
      </c>
      <c r="O45" s="17">
        <v>580</v>
      </c>
      <c r="P45" s="17" t="s">
        <v>79</v>
      </c>
      <c r="Q45" s="20">
        <f>'[1]FEBE Academics 2024'!R42</f>
        <v>25292</v>
      </c>
      <c r="R45" s="21">
        <f ca="1">YEARFRAC(Q45,TODAY())</f>
        <v>57.347222222222221</v>
      </c>
      <c r="S45" s="20">
        <f>EDATE(Q45,12*65)</f>
        <v>49033</v>
      </c>
      <c r="T45" s="17">
        <v>30000294</v>
      </c>
      <c r="U45" s="17" t="s">
        <v>80</v>
      </c>
      <c r="V45" s="17" t="s">
        <v>81</v>
      </c>
      <c r="W45" s="17" t="s">
        <v>82</v>
      </c>
      <c r="X45" s="22" t="s">
        <v>113</v>
      </c>
      <c r="Y45" s="23">
        <v>45734</v>
      </c>
      <c r="Z45" s="22" t="s">
        <v>0</v>
      </c>
      <c r="AA45" s="22" t="s">
        <v>0</v>
      </c>
      <c r="AB45" s="22" t="s">
        <v>0</v>
      </c>
      <c r="AC45" s="22" t="s">
        <v>0</v>
      </c>
      <c r="AD45" s="22" t="s">
        <v>0</v>
      </c>
      <c r="AE45" s="17" t="s">
        <v>0</v>
      </c>
      <c r="AF45" s="17" t="s">
        <v>0</v>
      </c>
      <c r="AG45" s="17" t="s">
        <v>0</v>
      </c>
      <c r="AH45" s="17" t="s">
        <v>0</v>
      </c>
      <c r="AI45" s="17" t="s">
        <v>0</v>
      </c>
      <c r="AJ45" s="22">
        <v>0.5</v>
      </c>
      <c r="AK45" s="22">
        <v>0</v>
      </c>
      <c r="AL45" s="22">
        <v>0</v>
      </c>
      <c r="AM45" s="18">
        <v>0</v>
      </c>
      <c r="AN45" s="17"/>
      <c r="AO45" s="17" t="s">
        <v>0</v>
      </c>
      <c r="AP45" s="17" t="s">
        <v>0</v>
      </c>
      <c r="AQ45" s="62"/>
      <c r="AR45" s="18" t="s">
        <v>1270</v>
      </c>
      <c r="AS45" s="17" t="s">
        <v>0</v>
      </c>
      <c r="AT45" s="17" t="s">
        <v>0</v>
      </c>
      <c r="AU45" s="17" t="s">
        <v>0</v>
      </c>
      <c r="AV45" s="17" t="s">
        <v>0</v>
      </c>
      <c r="AW45" s="18">
        <v>0</v>
      </c>
      <c r="AX45" s="17">
        <v>0</v>
      </c>
      <c r="AY45" s="17" t="s">
        <v>0</v>
      </c>
      <c r="AZ45" s="17">
        <v>0</v>
      </c>
      <c r="BA45" s="17">
        <v>0</v>
      </c>
      <c r="BB45" s="17" t="s">
        <v>94</v>
      </c>
      <c r="BC45" s="17" t="s">
        <v>0</v>
      </c>
      <c r="BD45" s="17" t="s">
        <v>0</v>
      </c>
      <c r="BE45" s="17" t="s">
        <v>0</v>
      </c>
      <c r="BF45" s="17" t="s">
        <v>0</v>
      </c>
    </row>
    <row r="46" spans="1:58" ht="17.850000000000001" customHeight="1">
      <c r="A46" s="17" t="s">
        <v>54</v>
      </c>
      <c r="B46" s="17">
        <v>30084284</v>
      </c>
      <c r="C46" s="18" t="s">
        <v>977</v>
      </c>
      <c r="D46" s="17" t="s">
        <v>978</v>
      </c>
      <c r="E46" s="22" t="s">
        <v>979</v>
      </c>
      <c r="F46" s="19" t="s">
        <v>63</v>
      </c>
      <c r="G46" s="19" t="s">
        <v>80</v>
      </c>
      <c r="H46" s="17" t="s">
        <v>60</v>
      </c>
      <c r="I46" s="19" t="s">
        <v>61</v>
      </c>
      <c r="J46" s="17" t="s">
        <v>77</v>
      </c>
      <c r="K46" s="19" t="s">
        <v>63</v>
      </c>
      <c r="L46" s="17" t="s">
        <v>78</v>
      </c>
      <c r="M46" s="17" t="s">
        <v>60</v>
      </c>
      <c r="N46" s="17" t="s">
        <v>65</v>
      </c>
      <c r="O46" s="17">
        <v>594</v>
      </c>
      <c r="P46" s="17" t="s">
        <v>170</v>
      </c>
      <c r="Q46" s="20">
        <f>'[1]FEBE Academics 2024'!R45</f>
        <v>27626</v>
      </c>
      <c r="R46" s="21">
        <f ca="1">YEARFRAC(Q46,TODAY())</f>
        <v>50.958333333333336</v>
      </c>
      <c r="S46" s="20">
        <f>EDATE(Q46,12*65)</f>
        <v>51368</v>
      </c>
      <c r="T46" s="17">
        <v>30007204</v>
      </c>
      <c r="U46" s="17" t="s">
        <v>59</v>
      </c>
      <c r="V46" s="17" t="s">
        <v>66</v>
      </c>
      <c r="W46" s="17" t="s">
        <v>67</v>
      </c>
      <c r="X46" s="34" t="s">
        <v>980</v>
      </c>
      <c r="Y46" s="23">
        <v>46015</v>
      </c>
      <c r="Z46" s="52" t="s">
        <v>0</v>
      </c>
      <c r="AA46" s="34">
        <v>2017</v>
      </c>
      <c r="AB46" s="34">
        <v>2023</v>
      </c>
      <c r="AC46" s="34" t="s">
        <v>740</v>
      </c>
      <c r="AD46" s="34" t="s">
        <v>981</v>
      </c>
      <c r="AE46" s="18" t="s">
        <v>0</v>
      </c>
      <c r="AF46" s="18" t="s">
        <v>0</v>
      </c>
      <c r="AG46" s="18" t="s">
        <v>0</v>
      </c>
      <c r="AH46" s="17" t="s">
        <v>0</v>
      </c>
      <c r="AI46" s="17" t="s">
        <v>0</v>
      </c>
      <c r="AJ46" s="22">
        <v>0.5</v>
      </c>
      <c r="AK46" s="22">
        <v>0</v>
      </c>
      <c r="AL46" s="22">
        <v>0.1</v>
      </c>
      <c r="AM46" s="25">
        <v>0</v>
      </c>
      <c r="AN46" s="25"/>
      <c r="AO46" s="17" t="s">
        <v>0</v>
      </c>
      <c r="AP46" s="17" t="s">
        <v>0</v>
      </c>
      <c r="AQ46" s="62"/>
      <c r="AR46" s="190" t="s">
        <v>1270</v>
      </c>
      <c r="AS46" s="18" t="s">
        <v>0</v>
      </c>
      <c r="AT46" s="18" t="s">
        <v>0</v>
      </c>
      <c r="AU46" s="18" t="s">
        <v>0</v>
      </c>
      <c r="AV46" s="18" t="s">
        <v>0</v>
      </c>
      <c r="AW46" s="18">
        <v>0</v>
      </c>
      <c r="AX46" s="17">
        <v>11</v>
      </c>
      <c r="AY46" s="17" t="s">
        <v>0</v>
      </c>
      <c r="AZ46" s="17">
        <v>2</v>
      </c>
      <c r="BA46" s="17">
        <v>1</v>
      </c>
      <c r="BB46" s="40" t="s">
        <v>982</v>
      </c>
      <c r="BC46" s="18" t="s">
        <v>0</v>
      </c>
      <c r="BD46" s="18" t="s">
        <v>0</v>
      </c>
      <c r="BE46" s="18" t="s">
        <v>0</v>
      </c>
      <c r="BF46" s="18" t="s">
        <v>0</v>
      </c>
    </row>
    <row r="47" spans="1:58" s="26" customFormat="1" ht="17.850000000000001" customHeight="1">
      <c r="A47" s="27" t="s">
        <v>135</v>
      </c>
      <c r="B47" s="27">
        <v>30103988</v>
      </c>
      <c r="C47" s="27" t="s">
        <v>1262</v>
      </c>
      <c r="D47" s="27" t="s">
        <v>1263</v>
      </c>
      <c r="E47" s="27" t="s">
        <v>1264</v>
      </c>
      <c r="F47" s="29" t="s">
        <v>1261</v>
      </c>
      <c r="G47" s="29" t="s">
        <v>59</v>
      </c>
      <c r="H47" s="27" t="s">
        <v>75</v>
      </c>
      <c r="I47" s="29" t="s">
        <v>61</v>
      </c>
      <c r="J47" s="27" t="s">
        <v>62</v>
      </c>
      <c r="K47" s="29" t="s">
        <v>120</v>
      </c>
      <c r="L47" s="27" t="s">
        <v>78</v>
      </c>
      <c r="M47" s="27" t="s">
        <v>1265</v>
      </c>
      <c r="N47" s="27" t="s">
        <v>65</v>
      </c>
      <c r="O47" s="27"/>
      <c r="P47" s="27"/>
      <c r="Q47" s="27"/>
      <c r="R47" s="27"/>
      <c r="S47" s="27"/>
      <c r="T47" s="27"/>
      <c r="U47" s="27" t="s">
        <v>59</v>
      </c>
      <c r="V47" s="27" t="s">
        <v>99</v>
      </c>
      <c r="W47" s="27" t="s">
        <v>141</v>
      </c>
      <c r="X47" s="56" t="s">
        <v>214</v>
      </c>
      <c r="Y47" s="57">
        <v>44927</v>
      </c>
      <c r="Z47" s="27"/>
      <c r="AA47" s="27"/>
      <c r="AB47" s="27"/>
      <c r="AC47" s="27"/>
      <c r="AD47" s="27"/>
      <c r="AE47" s="27"/>
      <c r="AF47" s="27"/>
      <c r="AG47" s="27"/>
      <c r="AH47" s="27"/>
      <c r="AI47" s="27"/>
      <c r="AJ47" s="27"/>
      <c r="AK47" s="27"/>
      <c r="AL47" s="27"/>
      <c r="AM47" s="27"/>
      <c r="AN47" s="17"/>
      <c r="AO47" s="27"/>
      <c r="AP47" s="27"/>
      <c r="AQ47" s="18" t="s">
        <v>1270</v>
      </c>
      <c r="AR47" s="18"/>
      <c r="AS47" s="27"/>
      <c r="AT47" s="27"/>
      <c r="AU47" s="27"/>
      <c r="AV47" s="27"/>
      <c r="AW47" s="27"/>
      <c r="AX47" s="27"/>
      <c r="AY47" s="27"/>
      <c r="AZ47" s="27"/>
      <c r="BA47" s="27"/>
      <c r="BB47" s="27"/>
      <c r="BC47" s="27"/>
      <c r="BD47" s="27"/>
      <c r="BE47" s="27"/>
      <c r="BF47" s="27"/>
    </row>
    <row r="48" spans="1:58" s="47" customFormat="1" ht="17.850000000000001" customHeight="1">
      <c r="A48" s="17" t="s">
        <v>95</v>
      </c>
      <c r="B48" s="17">
        <v>30104760</v>
      </c>
      <c r="C48" s="17" t="s">
        <v>397</v>
      </c>
      <c r="D48" s="17" t="s">
        <v>398</v>
      </c>
      <c r="E48" s="22" t="s">
        <v>399</v>
      </c>
      <c r="F48" s="19" t="s">
        <v>400</v>
      </c>
      <c r="G48" s="19" t="s">
        <v>74</v>
      </c>
      <c r="H48" s="17" t="s">
        <v>60</v>
      </c>
      <c r="I48" s="19" t="s">
        <v>76</v>
      </c>
      <c r="J48" s="17" t="s">
        <v>101</v>
      </c>
      <c r="K48" s="19" t="s">
        <v>63</v>
      </c>
      <c r="L48" s="17" t="s">
        <v>78</v>
      </c>
      <c r="M48" s="17" t="s">
        <v>60</v>
      </c>
      <c r="N48" s="17" t="s">
        <v>65</v>
      </c>
      <c r="O48" s="17">
        <v>1012</v>
      </c>
      <c r="P48" s="17" t="s">
        <v>104</v>
      </c>
      <c r="Q48" s="20">
        <f>'[1]FEBE Academics 2024'!R46</f>
        <v>33820</v>
      </c>
      <c r="R48" s="21">
        <f ca="1">YEARFRAC(Q48,TODAY())</f>
        <v>34.00277777777778</v>
      </c>
      <c r="S48" s="20">
        <f>EDATE(Q48,12*65)</f>
        <v>57561</v>
      </c>
      <c r="T48" s="17">
        <v>30110521</v>
      </c>
      <c r="U48" s="17" t="s">
        <v>105</v>
      </c>
      <c r="V48" s="17" t="s">
        <v>106</v>
      </c>
      <c r="W48" s="17" t="s">
        <v>107</v>
      </c>
      <c r="X48" s="22" t="s">
        <v>401</v>
      </c>
      <c r="Y48" s="23">
        <v>45796</v>
      </c>
      <c r="Z48" s="22" t="s">
        <v>0</v>
      </c>
      <c r="AA48" s="22" t="s">
        <v>0</v>
      </c>
      <c r="AB48" s="22" t="s">
        <v>0</v>
      </c>
      <c r="AC48" s="22" t="s">
        <v>0</v>
      </c>
      <c r="AD48" s="22" t="s">
        <v>0</v>
      </c>
      <c r="AE48" s="17" t="s">
        <v>0</v>
      </c>
      <c r="AF48" s="17" t="s">
        <v>0</v>
      </c>
      <c r="AG48" s="17" t="s">
        <v>0</v>
      </c>
      <c r="AH48" s="17" t="s">
        <v>0</v>
      </c>
      <c r="AI48" s="17" t="s">
        <v>0</v>
      </c>
      <c r="AJ48" s="22">
        <v>0.5</v>
      </c>
      <c r="AK48" s="36">
        <v>0.125</v>
      </c>
      <c r="AL48" s="22">
        <v>0</v>
      </c>
      <c r="AM48" s="32">
        <v>0</v>
      </c>
      <c r="AN48" s="22"/>
      <c r="AO48" s="17" t="s">
        <v>0</v>
      </c>
      <c r="AP48" s="17" t="s">
        <v>0</v>
      </c>
      <c r="AQ48" s="18" t="s">
        <v>1270</v>
      </c>
      <c r="AR48" s="18" t="s">
        <v>1270</v>
      </c>
      <c r="AS48" s="17" t="s">
        <v>0</v>
      </c>
      <c r="AT48" s="17" t="s">
        <v>0</v>
      </c>
      <c r="AU48" s="17" t="s">
        <v>0</v>
      </c>
      <c r="AV48" s="17" t="s">
        <v>0</v>
      </c>
      <c r="AW48" s="18">
        <v>0</v>
      </c>
      <c r="AX48" s="55">
        <v>0</v>
      </c>
      <c r="AY48" s="17" t="s">
        <v>0</v>
      </c>
      <c r="AZ48" s="17">
        <v>0</v>
      </c>
      <c r="BA48" s="17">
        <v>0</v>
      </c>
      <c r="BB48" s="17" t="s">
        <v>94</v>
      </c>
      <c r="BC48" s="17" t="s">
        <v>0</v>
      </c>
      <c r="BD48" s="17" t="s">
        <v>0</v>
      </c>
      <c r="BE48" s="17" t="s">
        <v>0</v>
      </c>
      <c r="BF48" s="17" t="s">
        <v>0</v>
      </c>
    </row>
    <row r="49" spans="1:58" ht="17.850000000000001" customHeight="1">
      <c r="A49" s="17" t="s">
        <v>95</v>
      </c>
      <c r="B49" s="17">
        <v>30089780</v>
      </c>
      <c r="C49" s="17" t="s">
        <v>861</v>
      </c>
      <c r="D49" s="17" t="s">
        <v>862</v>
      </c>
      <c r="E49" s="22" t="s">
        <v>863</v>
      </c>
      <c r="F49" s="19" t="s">
        <v>864</v>
      </c>
      <c r="G49" s="19" t="s">
        <v>80</v>
      </c>
      <c r="H49" s="17" t="s">
        <v>60</v>
      </c>
      <c r="I49" s="19" t="s">
        <v>76</v>
      </c>
      <c r="J49" s="17" t="s">
        <v>62</v>
      </c>
      <c r="K49" s="19" t="s">
        <v>120</v>
      </c>
      <c r="L49" s="17" t="s">
        <v>78</v>
      </c>
      <c r="M49" s="17" t="s">
        <v>60</v>
      </c>
      <c r="N49" s="17" t="s">
        <v>865</v>
      </c>
      <c r="O49" s="17">
        <v>1012</v>
      </c>
      <c r="P49" s="17" t="s">
        <v>104</v>
      </c>
      <c r="Q49" s="37">
        <f>'[1]FEBE Academics 2024'!R51</f>
        <v>26689</v>
      </c>
      <c r="R49" s="38">
        <f ca="1">YEARFRAC(Q49,TODAY())</f>
        <v>53.527777777777779</v>
      </c>
      <c r="S49" s="37">
        <f>EDATE(Q49,12*65)</f>
        <v>50430</v>
      </c>
      <c r="T49" s="17">
        <v>30110521</v>
      </c>
      <c r="U49" s="17" t="s">
        <v>105</v>
      </c>
      <c r="V49" s="17" t="s">
        <v>106</v>
      </c>
      <c r="W49" s="17" t="s">
        <v>107</v>
      </c>
      <c r="X49" s="22" t="s">
        <v>154</v>
      </c>
      <c r="Y49" s="23">
        <v>45740</v>
      </c>
      <c r="Z49" s="101" t="s">
        <v>0</v>
      </c>
      <c r="AA49" s="22">
        <v>2016</v>
      </c>
      <c r="AB49" s="22">
        <v>2023</v>
      </c>
      <c r="AC49" s="22" t="s">
        <v>85</v>
      </c>
      <c r="AD49" s="22" t="s">
        <v>866</v>
      </c>
      <c r="AE49" s="17" t="s">
        <v>0</v>
      </c>
      <c r="AF49" s="17" t="s">
        <v>0</v>
      </c>
      <c r="AG49" s="17" t="s">
        <v>0</v>
      </c>
      <c r="AH49" s="17" t="s">
        <v>0</v>
      </c>
      <c r="AI49" s="17" t="s">
        <v>0</v>
      </c>
      <c r="AJ49" s="22">
        <v>0.5</v>
      </c>
      <c r="AK49" s="22" t="s">
        <v>495</v>
      </c>
      <c r="AL49" s="22" t="s">
        <v>495</v>
      </c>
      <c r="AM49" s="22">
        <v>0.5</v>
      </c>
      <c r="AN49" s="22"/>
      <c r="AO49" s="17" t="s">
        <v>0</v>
      </c>
      <c r="AP49" s="17" t="s">
        <v>0</v>
      </c>
      <c r="AQ49" s="27"/>
      <c r="AR49" s="18" t="s">
        <v>1270</v>
      </c>
      <c r="AS49" s="17" t="s">
        <v>0</v>
      </c>
      <c r="AT49" s="17" t="s">
        <v>0</v>
      </c>
      <c r="AU49" s="17" t="s">
        <v>0</v>
      </c>
      <c r="AV49" s="17" t="s">
        <v>0</v>
      </c>
      <c r="AW49" s="39">
        <v>0</v>
      </c>
      <c r="AX49" s="17">
        <v>4</v>
      </c>
      <c r="AY49" s="17" t="s">
        <v>0</v>
      </c>
      <c r="AZ49" s="17">
        <v>2</v>
      </c>
      <c r="BA49" s="17">
        <v>3</v>
      </c>
      <c r="BB49" s="17" t="s">
        <v>94</v>
      </c>
      <c r="BC49" s="17" t="s">
        <v>0</v>
      </c>
      <c r="BD49" s="17" t="s">
        <v>0</v>
      </c>
      <c r="BE49" s="17" t="s">
        <v>0</v>
      </c>
      <c r="BF49" s="17" t="s">
        <v>0</v>
      </c>
    </row>
    <row r="50" spans="1:58" ht="17.850000000000001" customHeight="1">
      <c r="A50" s="17" t="s">
        <v>69</v>
      </c>
      <c r="B50" s="17">
        <v>30004069</v>
      </c>
      <c r="C50" s="17" t="s">
        <v>347</v>
      </c>
      <c r="D50" s="17" t="s">
        <v>348</v>
      </c>
      <c r="E50" s="22" t="s">
        <v>349</v>
      </c>
      <c r="F50" s="19" t="s">
        <v>340</v>
      </c>
      <c r="G50" s="19" t="s">
        <v>80</v>
      </c>
      <c r="H50" s="17" t="s">
        <v>60</v>
      </c>
      <c r="I50" s="19" t="s">
        <v>61</v>
      </c>
      <c r="J50" s="17" t="s">
        <v>77</v>
      </c>
      <c r="K50" s="19" t="s">
        <v>63</v>
      </c>
      <c r="L50" s="17" t="s">
        <v>78</v>
      </c>
      <c r="M50" s="17" t="s">
        <v>60</v>
      </c>
      <c r="N50" s="17" t="s">
        <v>65</v>
      </c>
      <c r="O50" s="17">
        <v>580</v>
      </c>
      <c r="P50" s="17" t="s">
        <v>79</v>
      </c>
      <c r="Q50" s="20">
        <f>'[1]FEBE Academics 2024'!R47</f>
        <v>26561</v>
      </c>
      <c r="R50" s="21">
        <f ca="1">YEARFRAC(Q50,TODAY())</f>
        <v>53.87777777777778</v>
      </c>
      <c r="S50" s="20">
        <f>EDATE(Q50,12*65)</f>
        <v>50302</v>
      </c>
      <c r="T50" s="17">
        <v>30000294</v>
      </c>
      <c r="U50" s="17" t="s">
        <v>80</v>
      </c>
      <c r="V50" s="17" t="s">
        <v>81</v>
      </c>
      <c r="W50" s="17" t="s">
        <v>82</v>
      </c>
      <c r="X50" s="22" t="s">
        <v>142</v>
      </c>
      <c r="Y50" s="23">
        <v>46006</v>
      </c>
      <c r="Z50" s="34" t="s">
        <v>0</v>
      </c>
      <c r="AA50" s="34" t="s">
        <v>0</v>
      </c>
      <c r="AB50" s="34" t="s">
        <v>0</v>
      </c>
      <c r="AC50" s="34" t="s">
        <v>0</v>
      </c>
      <c r="AD50" s="34" t="s">
        <v>0</v>
      </c>
      <c r="AE50" s="18" t="s">
        <v>0</v>
      </c>
      <c r="AF50" s="18" t="s">
        <v>0</v>
      </c>
      <c r="AG50" s="18" t="s">
        <v>0</v>
      </c>
      <c r="AH50" s="17" t="s">
        <v>0</v>
      </c>
      <c r="AI50" s="17" t="s">
        <v>0</v>
      </c>
      <c r="AJ50" s="22">
        <v>0.5</v>
      </c>
      <c r="AK50" s="22">
        <v>0</v>
      </c>
      <c r="AL50" s="22">
        <v>0</v>
      </c>
      <c r="AM50" s="18">
        <v>0</v>
      </c>
      <c r="AN50" s="17"/>
      <c r="AO50" s="17" t="s">
        <v>0</v>
      </c>
      <c r="AP50" s="17" t="s">
        <v>0</v>
      </c>
      <c r="AQ50" s="18" t="s">
        <v>1270</v>
      </c>
      <c r="AR50" s="66" t="s">
        <v>275</v>
      </c>
      <c r="AS50" s="18" t="s">
        <v>0</v>
      </c>
      <c r="AT50" s="18" t="s">
        <v>0</v>
      </c>
      <c r="AU50" s="18" t="s">
        <v>0</v>
      </c>
      <c r="AV50" s="18">
        <v>49</v>
      </c>
      <c r="AW50" s="18">
        <v>0</v>
      </c>
      <c r="AX50" s="17">
        <v>0</v>
      </c>
      <c r="AY50" s="17">
        <v>3</v>
      </c>
      <c r="AZ50" s="17">
        <v>3</v>
      </c>
      <c r="BA50" s="17">
        <v>0</v>
      </c>
      <c r="BB50" s="40" t="s">
        <v>350</v>
      </c>
      <c r="BC50" s="18" t="s">
        <v>0</v>
      </c>
      <c r="BD50" s="18" t="s">
        <v>0</v>
      </c>
      <c r="BE50" s="18" t="s">
        <v>0</v>
      </c>
      <c r="BF50" s="18" t="s">
        <v>0</v>
      </c>
    </row>
    <row r="51" spans="1:58" ht="17.850000000000001" customHeight="1">
      <c r="A51" s="17" t="s">
        <v>69</v>
      </c>
      <c r="B51" s="17">
        <v>30105574</v>
      </c>
      <c r="C51" s="17" t="s">
        <v>1101</v>
      </c>
      <c r="D51" s="17" t="s">
        <v>1102</v>
      </c>
      <c r="E51" s="22" t="s">
        <v>1103</v>
      </c>
      <c r="F51" s="19" t="s">
        <v>1104</v>
      </c>
      <c r="G51" s="19" t="s">
        <v>74</v>
      </c>
      <c r="H51" s="17" t="s">
        <v>60</v>
      </c>
      <c r="I51" s="19" t="s">
        <v>76</v>
      </c>
      <c r="J51" s="17" t="s">
        <v>62</v>
      </c>
      <c r="K51" s="19" t="s">
        <v>120</v>
      </c>
      <c r="L51" s="17" t="s">
        <v>64</v>
      </c>
      <c r="M51" s="17" t="s">
        <v>60</v>
      </c>
      <c r="N51" s="17" t="s">
        <v>129</v>
      </c>
      <c r="O51" s="17" t="s">
        <v>0</v>
      </c>
      <c r="P51" s="17" t="s">
        <v>0</v>
      </c>
      <c r="Q51" s="37">
        <f>'[1]FEBE Academics 2024'!R48</f>
        <v>31138</v>
      </c>
      <c r="R51" s="38">
        <f ca="1">YEARFRAC(Q51,TODAY())</f>
        <v>41.344444444444441</v>
      </c>
      <c r="S51" s="37">
        <f>EDATE(Q51,12*65)</f>
        <v>54879</v>
      </c>
      <c r="T51" s="17">
        <v>30000294</v>
      </c>
      <c r="U51" s="17" t="s">
        <v>80</v>
      </c>
      <c r="V51" s="17" t="s">
        <v>81</v>
      </c>
      <c r="W51" s="17" t="s">
        <v>82</v>
      </c>
      <c r="X51" s="22" t="s">
        <v>68</v>
      </c>
      <c r="Y51" s="23">
        <v>45851</v>
      </c>
      <c r="Z51" s="22" t="s">
        <v>1105</v>
      </c>
      <c r="AA51" s="22">
        <v>2017</v>
      </c>
      <c r="AB51" s="22">
        <v>2025</v>
      </c>
      <c r="AC51" s="22" t="s">
        <v>473</v>
      </c>
      <c r="AD51" s="22" t="s">
        <v>0</v>
      </c>
      <c r="AE51" s="17" t="s">
        <v>0</v>
      </c>
      <c r="AF51" s="17" t="s">
        <v>0</v>
      </c>
      <c r="AG51" s="17" t="s">
        <v>0</v>
      </c>
      <c r="AH51" s="17" t="s">
        <v>0</v>
      </c>
      <c r="AI51" s="17" t="s">
        <v>0</v>
      </c>
      <c r="AJ51" s="22">
        <v>0.5</v>
      </c>
      <c r="AK51" s="22">
        <v>0</v>
      </c>
      <c r="AL51" s="22">
        <v>0.25</v>
      </c>
      <c r="AM51" s="17">
        <v>0.3</v>
      </c>
      <c r="AN51" s="17">
        <v>0.1</v>
      </c>
      <c r="AO51" s="17" t="s">
        <v>0</v>
      </c>
      <c r="AP51" s="17" t="s">
        <v>0</v>
      </c>
      <c r="AQ51" s="62"/>
      <c r="AR51" s="18" t="s">
        <v>1270</v>
      </c>
      <c r="AS51" s="17" t="s">
        <v>0</v>
      </c>
      <c r="AT51" s="17" t="s">
        <v>0</v>
      </c>
      <c r="AU51" s="17" t="s">
        <v>0</v>
      </c>
      <c r="AV51" s="17" t="s">
        <v>0</v>
      </c>
      <c r="AW51" s="39">
        <v>1</v>
      </c>
      <c r="AX51" s="17">
        <v>41</v>
      </c>
      <c r="AY51" s="17" t="s">
        <v>0</v>
      </c>
      <c r="AZ51" s="17">
        <v>5</v>
      </c>
      <c r="BA51" s="17">
        <v>8</v>
      </c>
      <c r="BB51" s="17" t="s">
        <v>94</v>
      </c>
      <c r="BC51" s="17" t="s">
        <v>0</v>
      </c>
      <c r="BD51" s="17" t="s">
        <v>0</v>
      </c>
      <c r="BE51" s="17" t="s">
        <v>0</v>
      </c>
      <c r="BF51" s="17" t="s">
        <v>0</v>
      </c>
    </row>
    <row r="52" spans="1:58" ht="17.850000000000001" customHeight="1">
      <c r="A52" s="17" t="s">
        <v>54</v>
      </c>
      <c r="B52" s="17">
        <v>30004187</v>
      </c>
      <c r="C52" s="17" t="s">
        <v>578</v>
      </c>
      <c r="D52" s="17" t="s">
        <v>579</v>
      </c>
      <c r="E52" s="22" t="s">
        <v>580</v>
      </c>
      <c r="F52" s="19" t="s">
        <v>577</v>
      </c>
      <c r="G52" s="19" t="s">
        <v>74</v>
      </c>
      <c r="H52" s="17" t="s">
        <v>60</v>
      </c>
      <c r="I52" s="19" t="s">
        <v>76</v>
      </c>
      <c r="J52" s="17" t="s">
        <v>77</v>
      </c>
      <c r="K52" s="19" t="s">
        <v>63</v>
      </c>
      <c r="L52" s="17" t="s">
        <v>78</v>
      </c>
      <c r="M52" s="17" t="s">
        <v>60</v>
      </c>
      <c r="N52" s="17" t="s">
        <v>65</v>
      </c>
      <c r="O52" s="17">
        <v>594</v>
      </c>
      <c r="P52" s="17" t="s">
        <v>170</v>
      </c>
      <c r="Q52" s="20">
        <f>'[1]FEBE Academics 2024'!R49</f>
        <v>23053</v>
      </c>
      <c r="R52" s="21">
        <f ca="1">YEARFRAC(Q52,TODAY())</f>
        <v>63.483333333333334</v>
      </c>
      <c r="S52" s="20">
        <f>EDATE(Q52,12*65)</f>
        <v>46794</v>
      </c>
      <c r="T52" s="17">
        <v>30007204</v>
      </c>
      <c r="U52" s="17" t="s">
        <v>59</v>
      </c>
      <c r="V52" s="17" t="s">
        <v>66</v>
      </c>
      <c r="W52" s="17" t="s">
        <v>67</v>
      </c>
      <c r="X52" s="22" t="s">
        <v>581</v>
      </c>
      <c r="Y52" s="23">
        <v>31048</v>
      </c>
      <c r="Z52" s="22" t="s">
        <v>0</v>
      </c>
      <c r="AA52" s="22" t="s">
        <v>0</v>
      </c>
      <c r="AB52" s="22" t="s">
        <v>0</v>
      </c>
      <c r="AC52" s="22" t="s">
        <v>0</v>
      </c>
      <c r="AD52" s="22" t="s">
        <v>0</v>
      </c>
      <c r="AE52" s="17" t="s">
        <v>0</v>
      </c>
      <c r="AF52" s="17" t="s">
        <v>0</v>
      </c>
      <c r="AG52" s="17" t="s">
        <v>0</v>
      </c>
      <c r="AH52" s="17" t="s">
        <v>0</v>
      </c>
      <c r="AI52" s="17" t="s">
        <v>0</v>
      </c>
      <c r="AJ52" s="22">
        <v>0.5</v>
      </c>
      <c r="AK52" s="22">
        <v>0</v>
      </c>
      <c r="AL52" s="22">
        <v>0</v>
      </c>
      <c r="AM52" s="25">
        <v>0</v>
      </c>
      <c r="AN52" s="25"/>
      <c r="AO52" s="17" t="s">
        <v>0</v>
      </c>
      <c r="AP52" s="17" t="s">
        <v>0</v>
      </c>
      <c r="AQ52" s="18" t="s">
        <v>1270</v>
      </c>
      <c r="AR52" s="18" t="s">
        <v>1270</v>
      </c>
      <c r="AS52" s="17" t="s">
        <v>0</v>
      </c>
      <c r="AT52" s="17" t="s">
        <v>0</v>
      </c>
      <c r="AU52" s="17" t="s">
        <v>0</v>
      </c>
      <c r="AV52" s="17" t="s">
        <v>0</v>
      </c>
      <c r="AW52" s="18">
        <v>0</v>
      </c>
      <c r="AX52" s="17">
        <v>0</v>
      </c>
      <c r="AY52" s="17" t="s">
        <v>0</v>
      </c>
      <c r="AZ52" s="17">
        <v>0</v>
      </c>
      <c r="BA52" s="17">
        <v>0</v>
      </c>
      <c r="BB52" s="17" t="s">
        <v>94</v>
      </c>
      <c r="BC52" s="17" t="s">
        <v>0</v>
      </c>
      <c r="BD52" s="17" t="s">
        <v>0</v>
      </c>
      <c r="BE52" s="17" t="s">
        <v>0</v>
      </c>
      <c r="BF52" s="17" t="s">
        <v>0</v>
      </c>
    </row>
    <row r="53" spans="1:58" ht="17.850000000000001" customHeight="1">
      <c r="A53" s="95" t="s">
        <v>95</v>
      </c>
      <c r="B53" s="95">
        <v>30004220</v>
      </c>
      <c r="C53" s="95" t="s">
        <v>456</v>
      </c>
      <c r="D53" s="95" t="s">
        <v>457</v>
      </c>
      <c r="E53" s="95" t="s">
        <v>458</v>
      </c>
      <c r="F53" s="96" t="s">
        <v>459</v>
      </c>
      <c r="G53" s="96" t="s">
        <v>460</v>
      </c>
      <c r="H53" s="95" t="s">
        <v>60</v>
      </c>
      <c r="I53" s="96" t="s">
        <v>76</v>
      </c>
      <c r="J53" s="95" t="s">
        <v>101</v>
      </c>
      <c r="K53" s="96" t="s">
        <v>11</v>
      </c>
      <c r="L53" s="95" t="s">
        <v>78</v>
      </c>
      <c r="M53" s="95" t="s">
        <v>0</v>
      </c>
      <c r="N53" s="95" t="s">
        <v>0</v>
      </c>
      <c r="O53" s="95" t="s">
        <v>0</v>
      </c>
      <c r="P53" s="95" t="s">
        <v>104</v>
      </c>
      <c r="Q53" s="97">
        <f>'[1]FEBE Academics 2024'!R50</f>
        <v>21582</v>
      </c>
      <c r="R53" s="21">
        <f ca="1">YEARFRAC(Q53,TODAY())</f>
        <v>67.511111111111106</v>
      </c>
      <c r="S53" s="20">
        <f>EDATE(Q53,12*65)</f>
        <v>45323</v>
      </c>
      <c r="T53" s="95">
        <v>30110521</v>
      </c>
      <c r="U53" s="95" t="s">
        <v>105</v>
      </c>
      <c r="V53" s="95" t="s">
        <v>106</v>
      </c>
      <c r="W53" s="95" t="s">
        <v>107</v>
      </c>
      <c r="X53" s="98" t="s">
        <v>461</v>
      </c>
      <c r="Y53" s="99">
        <v>34151</v>
      </c>
      <c r="Z53" s="98" t="s">
        <v>0</v>
      </c>
      <c r="AA53" s="98" t="s">
        <v>0</v>
      </c>
      <c r="AB53" s="98" t="s">
        <v>0</v>
      </c>
      <c r="AC53" s="98" t="s">
        <v>0</v>
      </c>
      <c r="AD53" s="98" t="s">
        <v>0</v>
      </c>
      <c r="AE53" s="95" t="s">
        <v>0</v>
      </c>
      <c r="AF53" s="95" t="s">
        <v>0</v>
      </c>
      <c r="AG53" s="95" t="s">
        <v>0</v>
      </c>
      <c r="AH53" s="95" t="s">
        <v>0</v>
      </c>
      <c r="AI53" s="95" t="s">
        <v>0</v>
      </c>
      <c r="AJ53" s="98">
        <v>0</v>
      </c>
      <c r="AK53" s="98">
        <v>0</v>
      </c>
      <c r="AL53" s="98">
        <v>0</v>
      </c>
      <c r="AM53" s="32">
        <v>0</v>
      </c>
      <c r="AN53" s="22"/>
      <c r="AO53" s="95" t="s">
        <v>0</v>
      </c>
      <c r="AP53" s="95" t="s">
        <v>0</v>
      </c>
      <c r="AQ53" s="18" t="s">
        <v>1270</v>
      </c>
      <c r="AR53" s="18" t="s">
        <v>1270</v>
      </c>
      <c r="AS53" s="95" t="s">
        <v>0</v>
      </c>
      <c r="AT53" s="95" t="s">
        <v>0</v>
      </c>
      <c r="AU53" s="95" t="s">
        <v>0</v>
      </c>
      <c r="AV53" s="95" t="s">
        <v>0</v>
      </c>
      <c r="AW53" s="95" t="s">
        <v>0</v>
      </c>
      <c r="AX53" s="55">
        <v>0</v>
      </c>
      <c r="AY53" s="17" t="s">
        <v>0</v>
      </c>
      <c r="AZ53" s="17" t="s">
        <v>0</v>
      </c>
      <c r="BA53" s="17">
        <v>0</v>
      </c>
      <c r="BB53" s="95" t="s">
        <v>0</v>
      </c>
      <c r="BC53" s="95" t="s">
        <v>0</v>
      </c>
      <c r="BD53" s="95" t="s">
        <v>0</v>
      </c>
      <c r="BE53" s="95" t="s">
        <v>0</v>
      </c>
      <c r="BF53" s="95" t="s">
        <v>0</v>
      </c>
    </row>
    <row r="54" spans="1:58" ht="17.850000000000001" customHeight="1">
      <c r="A54" s="17" t="s">
        <v>125</v>
      </c>
      <c r="B54" s="17">
        <v>30004234</v>
      </c>
      <c r="C54" s="17" t="s">
        <v>177</v>
      </c>
      <c r="D54" s="17" t="s">
        <v>178</v>
      </c>
      <c r="E54" s="17" t="s">
        <v>179</v>
      </c>
      <c r="F54" s="19" t="s">
        <v>180</v>
      </c>
      <c r="G54" s="19" t="s">
        <v>181</v>
      </c>
      <c r="H54" s="17" t="s">
        <v>60</v>
      </c>
      <c r="I54" s="19" t="s">
        <v>61</v>
      </c>
      <c r="J54" s="17" t="s">
        <v>101</v>
      </c>
      <c r="K54" s="19" t="s">
        <v>63</v>
      </c>
      <c r="L54" s="17" t="s">
        <v>64</v>
      </c>
      <c r="M54" s="17" t="s">
        <v>60</v>
      </c>
      <c r="N54" s="17" t="s">
        <v>65</v>
      </c>
      <c r="O54" s="17">
        <v>2010</v>
      </c>
      <c r="P54" s="17" t="s">
        <v>91</v>
      </c>
      <c r="Q54" s="20">
        <f>'[1]FEBE Academics 2024'!R115</f>
        <v>26739</v>
      </c>
      <c r="R54" s="21">
        <f ca="1">YEARFRAC(Q54,TODAY())</f>
        <v>53.386111111111113</v>
      </c>
      <c r="S54" s="20">
        <f>EDATE(Q54,12*65)</f>
        <v>50480</v>
      </c>
      <c r="T54" s="17">
        <v>30101611</v>
      </c>
      <c r="U54" s="17" t="s">
        <v>105</v>
      </c>
      <c r="V54" s="17" t="s">
        <v>76</v>
      </c>
      <c r="W54" s="17" t="s">
        <v>131</v>
      </c>
      <c r="X54" s="52" t="s">
        <v>182</v>
      </c>
      <c r="Y54" s="23">
        <v>46015</v>
      </c>
      <c r="Z54" s="22" t="s">
        <v>133</v>
      </c>
      <c r="AA54" s="34">
        <v>2017</v>
      </c>
      <c r="AB54" s="34">
        <v>2025</v>
      </c>
      <c r="AC54" s="34" t="s">
        <v>85</v>
      </c>
      <c r="AD54" s="34" t="s">
        <v>183</v>
      </c>
      <c r="AE54" s="53">
        <v>45144</v>
      </c>
      <c r="AF54" s="18" t="s">
        <v>184</v>
      </c>
      <c r="AG54" s="18" t="s">
        <v>185</v>
      </c>
      <c r="AH54" s="17" t="s">
        <v>0</v>
      </c>
      <c r="AI54" s="17" t="s">
        <v>0</v>
      </c>
      <c r="AJ54" s="22">
        <v>0.5</v>
      </c>
      <c r="AK54" s="22">
        <v>0</v>
      </c>
      <c r="AL54" s="22">
        <v>0</v>
      </c>
      <c r="AM54" s="25">
        <v>0</v>
      </c>
      <c r="AN54" s="25">
        <v>1</v>
      </c>
      <c r="AO54" s="17" t="s">
        <v>0</v>
      </c>
      <c r="AP54" s="17" t="s">
        <v>0</v>
      </c>
      <c r="AQ54" s="18" t="s">
        <v>1270</v>
      </c>
      <c r="AR54" s="18"/>
      <c r="AS54" s="18" t="s">
        <v>0</v>
      </c>
      <c r="AT54" s="18" t="s">
        <v>0</v>
      </c>
      <c r="AU54" s="18" t="s">
        <v>0</v>
      </c>
      <c r="AV54" s="18" t="s">
        <v>0</v>
      </c>
      <c r="AW54" s="18" t="s">
        <v>0</v>
      </c>
      <c r="AX54" s="17">
        <v>0</v>
      </c>
      <c r="AY54" s="17" t="s">
        <v>0</v>
      </c>
      <c r="AZ54" s="17" t="s">
        <v>0</v>
      </c>
      <c r="BA54" s="17">
        <v>0</v>
      </c>
      <c r="BB54" s="40" t="s">
        <v>186</v>
      </c>
      <c r="BC54" s="18" t="s">
        <v>0</v>
      </c>
      <c r="BD54" s="18" t="s">
        <v>0</v>
      </c>
      <c r="BE54" s="18" t="s">
        <v>0</v>
      </c>
      <c r="BF54" s="18" t="s">
        <v>0</v>
      </c>
    </row>
    <row r="55" spans="1:58" s="26" customFormat="1" ht="17.850000000000001" customHeight="1">
      <c r="A55" s="39" t="s">
        <v>95</v>
      </c>
      <c r="B55" s="39">
        <v>30095952</v>
      </c>
      <c r="C55" s="95" t="s">
        <v>943</v>
      </c>
      <c r="D55" s="39" t="s">
        <v>944</v>
      </c>
      <c r="E55" s="39" t="s">
        <v>945</v>
      </c>
      <c r="F55" s="94" t="s">
        <v>946</v>
      </c>
      <c r="G55" s="94" t="s">
        <v>80</v>
      </c>
      <c r="H55" s="39" t="s">
        <v>60</v>
      </c>
      <c r="I55" s="94" t="s">
        <v>76</v>
      </c>
      <c r="J55" s="39" t="s">
        <v>62</v>
      </c>
      <c r="K55" s="94" t="s">
        <v>120</v>
      </c>
      <c r="L55" s="39" t="s">
        <v>64</v>
      </c>
      <c r="M55" s="39" t="s">
        <v>60</v>
      </c>
      <c r="N55" s="39" t="s">
        <v>129</v>
      </c>
      <c r="O55" s="39" t="s">
        <v>0</v>
      </c>
      <c r="P55" s="39" t="s">
        <v>947</v>
      </c>
      <c r="Q55" s="85">
        <f>'[1]FEBE Academics 2024'!R52</f>
        <v>25644</v>
      </c>
      <c r="R55" s="86">
        <f ca="1">YEARFRAC(Q55,TODAY())</f>
        <v>56.383333333333333</v>
      </c>
      <c r="S55" s="85">
        <f>EDATE(Q55,12*65)</f>
        <v>49385</v>
      </c>
      <c r="T55" s="39">
        <v>30110521</v>
      </c>
      <c r="U55" s="39" t="s">
        <v>105</v>
      </c>
      <c r="V55" s="39" t="s">
        <v>106</v>
      </c>
      <c r="W55" s="39" t="s">
        <v>107</v>
      </c>
      <c r="X55" s="43" t="s">
        <v>369</v>
      </c>
      <c r="Y55" s="87">
        <v>45727</v>
      </c>
      <c r="Z55" s="145" t="s">
        <v>0</v>
      </c>
      <c r="AA55" s="43" t="s">
        <v>0</v>
      </c>
      <c r="AB55" s="43" t="s">
        <v>0</v>
      </c>
      <c r="AC55" s="43" t="s">
        <v>0</v>
      </c>
      <c r="AD55" s="43" t="s">
        <v>0</v>
      </c>
      <c r="AE55" s="39" t="s">
        <v>0</v>
      </c>
      <c r="AF55" s="39" t="s">
        <v>0</v>
      </c>
      <c r="AG55" s="39" t="s">
        <v>0</v>
      </c>
      <c r="AH55" s="39" t="s">
        <v>0</v>
      </c>
      <c r="AI55" s="39" t="s">
        <v>0</v>
      </c>
      <c r="AJ55" s="43" t="s">
        <v>495</v>
      </c>
      <c r="AK55" s="43" t="s">
        <v>495</v>
      </c>
      <c r="AL55" s="43" t="s">
        <v>495</v>
      </c>
      <c r="AM55" s="32">
        <v>0</v>
      </c>
      <c r="AN55" s="22"/>
      <c r="AO55" s="39" t="s">
        <v>0</v>
      </c>
      <c r="AP55" s="39" t="s">
        <v>0</v>
      </c>
      <c r="AQ55" s="62"/>
      <c r="AR55" s="18" t="s">
        <v>1270</v>
      </c>
      <c r="AS55" s="39" t="s">
        <v>0</v>
      </c>
      <c r="AT55" s="39" t="s">
        <v>0</v>
      </c>
      <c r="AU55" s="39" t="s">
        <v>0</v>
      </c>
      <c r="AV55" s="39" t="s">
        <v>0</v>
      </c>
      <c r="AW55" s="39" t="s">
        <v>0</v>
      </c>
      <c r="AX55" s="17">
        <v>0</v>
      </c>
      <c r="AY55" s="17" t="s">
        <v>0</v>
      </c>
      <c r="AZ55" s="17" t="s">
        <v>0</v>
      </c>
      <c r="BA55" s="67">
        <v>24</v>
      </c>
      <c r="BB55" s="39" t="s">
        <v>0</v>
      </c>
      <c r="BC55" s="39" t="s">
        <v>0</v>
      </c>
      <c r="BD55" s="39" t="s">
        <v>0</v>
      </c>
      <c r="BE55" s="39" t="s">
        <v>0</v>
      </c>
      <c r="BF55" s="39" t="s">
        <v>0</v>
      </c>
    </row>
    <row r="56" spans="1:58" ht="17.850000000000001" customHeight="1">
      <c r="A56" s="17" t="s">
        <v>95</v>
      </c>
      <c r="B56" s="17">
        <v>30004373</v>
      </c>
      <c r="C56" s="17" t="s">
        <v>542</v>
      </c>
      <c r="D56" s="17" t="s">
        <v>543</v>
      </c>
      <c r="E56" s="22" t="s">
        <v>544</v>
      </c>
      <c r="F56" s="19" t="s">
        <v>545</v>
      </c>
      <c r="G56" s="19" t="s">
        <v>80</v>
      </c>
      <c r="H56" s="17" t="s">
        <v>102</v>
      </c>
      <c r="I56" s="19" t="s">
        <v>76</v>
      </c>
      <c r="J56" s="17" t="s">
        <v>77</v>
      </c>
      <c r="K56" s="19" t="s">
        <v>63</v>
      </c>
      <c r="L56" s="17" t="s">
        <v>78</v>
      </c>
      <c r="M56" s="17" t="s">
        <v>102</v>
      </c>
      <c r="N56" s="17" t="s">
        <v>65</v>
      </c>
      <c r="O56" s="17">
        <v>1012</v>
      </c>
      <c r="P56" s="17" t="s">
        <v>104</v>
      </c>
      <c r="Q56" s="20">
        <f>'[1]FEBE Academics 2024'!R53</f>
        <v>24163</v>
      </c>
      <c r="R56" s="21">
        <f ca="1">YEARFRAC(Q56,TODAY())</f>
        <v>60.444444444444443</v>
      </c>
      <c r="S56" s="20">
        <f>EDATE(Q56,12*65)</f>
        <v>47904</v>
      </c>
      <c r="T56" s="17">
        <v>30110521</v>
      </c>
      <c r="U56" s="17" t="s">
        <v>105</v>
      </c>
      <c r="V56" s="17" t="s">
        <v>106</v>
      </c>
      <c r="W56" s="17" t="s">
        <v>107</v>
      </c>
      <c r="X56" s="22" t="s">
        <v>154</v>
      </c>
      <c r="Y56" s="23">
        <v>45984</v>
      </c>
      <c r="Z56" s="34" t="s">
        <v>0</v>
      </c>
      <c r="AA56" s="34" t="s">
        <v>0</v>
      </c>
      <c r="AB56" s="34" t="s">
        <v>0</v>
      </c>
      <c r="AC56" s="34" t="s">
        <v>0</v>
      </c>
      <c r="AD56" s="34" t="s">
        <v>0</v>
      </c>
      <c r="AE56" s="18" t="s">
        <v>0</v>
      </c>
      <c r="AF56" s="18" t="s">
        <v>0</v>
      </c>
      <c r="AG56" s="18" t="s">
        <v>0</v>
      </c>
      <c r="AH56" s="17" t="s">
        <v>0</v>
      </c>
      <c r="AI56" s="17" t="s">
        <v>0</v>
      </c>
      <c r="AJ56" s="22">
        <v>1</v>
      </c>
      <c r="AK56" s="22">
        <v>0</v>
      </c>
      <c r="AL56" s="22">
        <v>1</v>
      </c>
      <c r="AM56" s="32">
        <v>0</v>
      </c>
      <c r="AN56" s="22">
        <v>0.83330000000000004</v>
      </c>
      <c r="AO56" s="17" t="s">
        <v>0</v>
      </c>
      <c r="AP56" s="17" t="s">
        <v>0</v>
      </c>
      <c r="AQ56" s="18" t="s">
        <v>1270</v>
      </c>
      <c r="AR56" s="18" t="s">
        <v>1270</v>
      </c>
      <c r="AS56" s="18" t="s">
        <v>0</v>
      </c>
      <c r="AT56" s="18" t="s">
        <v>0</v>
      </c>
      <c r="AU56" s="18" t="s">
        <v>0</v>
      </c>
      <c r="AV56" s="18" t="s">
        <v>0</v>
      </c>
      <c r="AW56" s="18">
        <v>0</v>
      </c>
      <c r="AX56" s="17">
        <v>0</v>
      </c>
      <c r="AY56" s="17" t="s">
        <v>0</v>
      </c>
      <c r="AZ56" s="17">
        <v>0</v>
      </c>
      <c r="BA56" s="17">
        <v>0</v>
      </c>
      <c r="BB56" s="40" t="s">
        <v>546</v>
      </c>
      <c r="BC56" s="18" t="s">
        <v>0</v>
      </c>
      <c r="BD56" s="18" t="s">
        <v>0</v>
      </c>
      <c r="BE56" s="18" t="s">
        <v>0</v>
      </c>
      <c r="BF56" s="18" t="s">
        <v>0</v>
      </c>
    </row>
    <row r="57" spans="1:58" s="69" customFormat="1" ht="17.850000000000001" customHeight="1">
      <c r="A57" s="17" t="s">
        <v>95</v>
      </c>
      <c r="B57" s="17">
        <v>30004385</v>
      </c>
      <c r="C57" s="17" t="s">
        <v>452</v>
      </c>
      <c r="D57" s="17" t="s">
        <v>453</v>
      </c>
      <c r="E57" s="22" t="s">
        <v>454</v>
      </c>
      <c r="F57" s="19" t="s">
        <v>455</v>
      </c>
      <c r="G57" s="19" t="s">
        <v>74</v>
      </c>
      <c r="H57" s="17" t="s">
        <v>60</v>
      </c>
      <c r="I57" s="19" t="s">
        <v>76</v>
      </c>
      <c r="J57" s="17" t="s">
        <v>101</v>
      </c>
      <c r="K57" s="19" t="s">
        <v>63</v>
      </c>
      <c r="L57" s="17" t="s">
        <v>78</v>
      </c>
      <c r="M57" s="17" t="s">
        <v>60</v>
      </c>
      <c r="N57" s="17" t="s">
        <v>65</v>
      </c>
      <c r="O57" s="17">
        <v>1012</v>
      </c>
      <c r="P57" s="17" t="s">
        <v>104</v>
      </c>
      <c r="Q57" s="20">
        <f>'[1]FEBE Academics 2024'!R54</f>
        <v>23218</v>
      </c>
      <c r="R57" s="21">
        <f ca="1">YEARFRAC(Q57,TODAY())</f>
        <v>63.024999999999999</v>
      </c>
      <c r="S57" s="20">
        <f>EDATE(Q57,12*65)</f>
        <v>46960</v>
      </c>
      <c r="T57" s="17">
        <v>30110521</v>
      </c>
      <c r="U57" s="17" t="s">
        <v>105</v>
      </c>
      <c r="V57" s="17" t="s">
        <v>106</v>
      </c>
      <c r="W57" s="17" t="s">
        <v>107</v>
      </c>
      <c r="X57" s="22" t="s">
        <v>333</v>
      </c>
      <c r="Y57" s="23">
        <v>45997</v>
      </c>
      <c r="Z57" s="22" t="s">
        <v>0</v>
      </c>
      <c r="AA57" s="22" t="s">
        <v>0</v>
      </c>
      <c r="AB57" s="22" t="s">
        <v>0</v>
      </c>
      <c r="AC57" s="22" t="s">
        <v>0</v>
      </c>
      <c r="AD57" s="22" t="s">
        <v>0</v>
      </c>
      <c r="AE57" s="17" t="s">
        <v>0</v>
      </c>
      <c r="AF57" s="17" t="s">
        <v>0</v>
      </c>
      <c r="AG57" s="17" t="s">
        <v>0</v>
      </c>
      <c r="AH57" s="17" t="s">
        <v>0</v>
      </c>
      <c r="AI57" s="17" t="s">
        <v>0</v>
      </c>
      <c r="AJ57" s="22">
        <v>0.5</v>
      </c>
      <c r="AK57" s="22">
        <v>0</v>
      </c>
      <c r="AL57" s="22">
        <v>0</v>
      </c>
      <c r="AM57" s="17">
        <v>0.3</v>
      </c>
      <c r="AN57" s="17"/>
      <c r="AO57" s="62"/>
      <c r="AP57" s="17" t="s">
        <v>0</v>
      </c>
      <c r="AQ57" s="18" t="s">
        <v>1270</v>
      </c>
      <c r="AR57" s="18" t="s">
        <v>1270</v>
      </c>
      <c r="AS57" s="17" t="s">
        <v>0</v>
      </c>
      <c r="AT57" s="17" t="s">
        <v>0</v>
      </c>
      <c r="AU57" s="17" t="s">
        <v>0</v>
      </c>
      <c r="AV57" s="17" t="s">
        <v>0</v>
      </c>
      <c r="AW57" s="18">
        <v>0</v>
      </c>
      <c r="AX57" s="17">
        <v>0</v>
      </c>
      <c r="AY57" s="17" t="s">
        <v>0</v>
      </c>
      <c r="AZ57" s="17">
        <v>0</v>
      </c>
      <c r="BA57" s="17">
        <v>0</v>
      </c>
      <c r="BB57" s="17" t="s">
        <v>94</v>
      </c>
      <c r="BC57" s="17" t="s">
        <v>0</v>
      </c>
      <c r="BD57" s="17" t="s">
        <v>0</v>
      </c>
      <c r="BE57" s="17" t="s">
        <v>0</v>
      </c>
      <c r="BF57" s="17" t="s">
        <v>0</v>
      </c>
    </row>
    <row r="58" spans="1:58" s="26" customFormat="1" ht="17.850000000000001" customHeight="1">
      <c r="A58" s="18" t="s">
        <v>877</v>
      </c>
      <c r="B58" s="18">
        <v>30004446</v>
      </c>
      <c r="C58" s="105" t="s">
        <v>1155</v>
      </c>
      <c r="D58" s="18" t="s">
        <v>1156</v>
      </c>
      <c r="E58" s="34" t="s">
        <v>1157</v>
      </c>
      <c r="F58" s="72" t="s">
        <v>1158</v>
      </c>
      <c r="G58" s="72" t="s">
        <v>105</v>
      </c>
      <c r="H58" s="18" t="s">
        <v>1159</v>
      </c>
      <c r="I58" s="72" t="s">
        <v>61</v>
      </c>
      <c r="J58" s="18" t="s">
        <v>101</v>
      </c>
      <c r="K58" s="72" t="s">
        <v>63</v>
      </c>
      <c r="L58" s="18" t="s">
        <v>78</v>
      </c>
      <c r="M58" s="18" t="s">
        <v>207</v>
      </c>
      <c r="N58" s="18" t="s">
        <v>65</v>
      </c>
      <c r="O58" s="18">
        <v>594</v>
      </c>
      <c r="P58" s="18" t="s">
        <v>170</v>
      </c>
      <c r="Q58" s="20">
        <f>'[1]FEBE Academics 2024'!R55</f>
        <v>26822</v>
      </c>
      <c r="R58" s="21">
        <f ca="1">YEARFRAC(Q58,TODAY())</f>
        <v>53.161111111111111</v>
      </c>
      <c r="S58" s="20">
        <f>EDATE(Q58,12*65)</f>
        <v>50563</v>
      </c>
      <c r="T58" s="18">
        <v>30082157</v>
      </c>
      <c r="U58" s="18" t="s">
        <v>105</v>
      </c>
      <c r="V58" s="18" t="s">
        <v>171</v>
      </c>
      <c r="W58" s="18" t="s">
        <v>172</v>
      </c>
      <c r="X58" s="34" t="s">
        <v>333</v>
      </c>
      <c r="Y58" s="73">
        <v>45997</v>
      </c>
      <c r="Z58" s="34" t="s">
        <v>0</v>
      </c>
      <c r="AA58" s="34" t="s">
        <v>0</v>
      </c>
      <c r="AB58" s="34" t="s">
        <v>0</v>
      </c>
      <c r="AC58" s="34" t="s">
        <v>0</v>
      </c>
      <c r="AD58" s="34" t="s">
        <v>0</v>
      </c>
      <c r="AE58" s="18" t="s">
        <v>0</v>
      </c>
      <c r="AF58" s="18" t="s">
        <v>0</v>
      </c>
      <c r="AG58" s="18" t="s">
        <v>0</v>
      </c>
      <c r="AH58" s="18" t="s">
        <v>0</v>
      </c>
      <c r="AI58" s="18" t="s">
        <v>0</v>
      </c>
      <c r="AJ58" s="22">
        <v>1.5</v>
      </c>
      <c r="AK58" s="74">
        <v>0.33</v>
      </c>
      <c r="AL58" s="34">
        <v>1.38</v>
      </c>
      <c r="AM58" s="43">
        <v>0.2</v>
      </c>
      <c r="AN58" s="22">
        <v>0.25</v>
      </c>
      <c r="AO58" s="18" t="s">
        <v>208</v>
      </c>
      <c r="AP58" s="18" t="s">
        <v>0</v>
      </c>
      <c r="AQ58" s="27" t="s">
        <v>1273</v>
      </c>
      <c r="AR58" s="18" t="s">
        <v>200</v>
      </c>
      <c r="AS58" s="18">
        <v>2023</v>
      </c>
      <c r="AT58" s="18">
        <v>2027</v>
      </c>
      <c r="AU58" s="76">
        <v>45987</v>
      </c>
      <c r="AV58" s="18">
        <v>655</v>
      </c>
      <c r="AW58" s="18">
        <v>0</v>
      </c>
      <c r="AX58" s="17">
        <v>14</v>
      </c>
      <c r="AY58" s="17">
        <v>15</v>
      </c>
      <c r="AZ58" s="17">
        <v>16</v>
      </c>
      <c r="BA58" s="17">
        <v>13</v>
      </c>
      <c r="BB58" s="18" t="s">
        <v>1160</v>
      </c>
      <c r="BC58" s="18">
        <v>3</v>
      </c>
      <c r="BD58" s="18">
        <v>1</v>
      </c>
      <c r="BE58" s="18">
        <v>13</v>
      </c>
      <c r="BF58" s="18">
        <v>1</v>
      </c>
    </row>
    <row r="59" spans="1:58" ht="17.850000000000001" customHeight="1">
      <c r="A59" s="17" t="s">
        <v>95</v>
      </c>
      <c r="B59" s="17">
        <v>30091684</v>
      </c>
      <c r="C59" s="17" t="s">
        <v>538</v>
      </c>
      <c r="D59" s="17" t="s">
        <v>539</v>
      </c>
      <c r="E59" s="22" t="s">
        <v>540</v>
      </c>
      <c r="F59" s="19" t="s">
        <v>530</v>
      </c>
      <c r="G59" s="19" t="s">
        <v>80</v>
      </c>
      <c r="H59" s="17" t="s">
        <v>60</v>
      </c>
      <c r="I59" s="19" t="s">
        <v>76</v>
      </c>
      <c r="J59" s="17" t="s">
        <v>77</v>
      </c>
      <c r="K59" s="19" t="s">
        <v>63</v>
      </c>
      <c r="L59" s="17" t="s">
        <v>78</v>
      </c>
      <c r="M59" s="17" t="s">
        <v>60</v>
      </c>
      <c r="N59" s="17" t="s">
        <v>65</v>
      </c>
      <c r="O59" s="17">
        <v>1012</v>
      </c>
      <c r="P59" s="17" t="s">
        <v>104</v>
      </c>
      <c r="Q59" s="20">
        <f>'[1]FEBE Academics 2024'!R56</f>
        <v>31188</v>
      </c>
      <c r="R59" s="21">
        <f ca="1">YEARFRAC(Q59,TODAY())</f>
        <v>41.205555555555556</v>
      </c>
      <c r="S59" s="20">
        <f>EDATE(Q59,12*65)</f>
        <v>54929</v>
      </c>
      <c r="T59" s="17">
        <v>30110521</v>
      </c>
      <c r="U59" s="17" t="s">
        <v>105</v>
      </c>
      <c r="V59" s="17" t="s">
        <v>106</v>
      </c>
      <c r="W59" s="17" t="s">
        <v>107</v>
      </c>
      <c r="X59" s="22" t="s">
        <v>142</v>
      </c>
      <c r="Y59" s="23">
        <v>45981</v>
      </c>
      <c r="Z59" s="34" t="s">
        <v>0</v>
      </c>
      <c r="AA59" s="34" t="s">
        <v>0</v>
      </c>
      <c r="AB59" s="34" t="s">
        <v>0</v>
      </c>
      <c r="AC59" s="34" t="s">
        <v>0</v>
      </c>
      <c r="AD59" s="34" t="s">
        <v>0</v>
      </c>
      <c r="AE59" s="18" t="s">
        <v>0</v>
      </c>
      <c r="AF59" s="18" t="s">
        <v>0</v>
      </c>
      <c r="AG59" s="18" t="s">
        <v>0</v>
      </c>
      <c r="AH59" s="17" t="s">
        <v>0</v>
      </c>
      <c r="AI59" s="17" t="s">
        <v>0</v>
      </c>
      <c r="AJ59" s="22">
        <v>0.5</v>
      </c>
      <c r="AK59" s="22">
        <v>0</v>
      </c>
      <c r="AL59" s="22" t="s">
        <v>541</v>
      </c>
      <c r="AM59" s="43">
        <v>0.33</v>
      </c>
      <c r="AN59" s="22">
        <v>0.2</v>
      </c>
      <c r="AO59" s="17" t="s">
        <v>0</v>
      </c>
      <c r="AP59" s="17" t="s">
        <v>0</v>
      </c>
      <c r="AQ59" s="18" t="s">
        <v>1270</v>
      </c>
      <c r="AR59" s="18" t="s">
        <v>1270</v>
      </c>
      <c r="AS59" s="18" t="s">
        <v>0</v>
      </c>
      <c r="AT59" s="18" t="s">
        <v>0</v>
      </c>
      <c r="AU59" s="18" t="s">
        <v>0</v>
      </c>
      <c r="AV59" s="18">
        <v>43</v>
      </c>
      <c r="AW59" s="18">
        <v>0</v>
      </c>
      <c r="AX59" s="17">
        <v>10</v>
      </c>
      <c r="AY59" s="17">
        <v>4</v>
      </c>
      <c r="AZ59" s="17">
        <v>5</v>
      </c>
      <c r="BA59" s="17">
        <v>3</v>
      </c>
      <c r="BB59" s="18" t="s">
        <v>94</v>
      </c>
      <c r="BC59" s="18" t="s">
        <v>0</v>
      </c>
      <c r="BD59" s="18" t="s">
        <v>0</v>
      </c>
      <c r="BE59" s="18" t="s">
        <v>0</v>
      </c>
      <c r="BF59" s="18" t="s">
        <v>0</v>
      </c>
    </row>
    <row r="60" spans="1:58" ht="17.850000000000001" customHeight="1">
      <c r="A60" s="17" t="s">
        <v>54</v>
      </c>
      <c r="B60" s="17">
        <v>30105755</v>
      </c>
      <c r="C60" s="17" t="s">
        <v>1137</v>
      </c>
      <c r="D60" s="17" t="s">
        <v>1138</v>
      </c>
      <c r="E60" s="17" t="s">
        <v>1139</v>
      </c>
      <c r="F60" s="19" t="s">
        <v>120</v>
      </c>
      <c r="G60" s="19" t="s">
        <v>74</v>
      </c>
      <c r="H60" s="17" t="s">
        <v>258</v>
      </c>
      <c r="I60" s="19" t="s">
        <v>76</v>
      </c>
      <c r="J60" s="17" t="s">
        <v>101</v>
      </c>
      <c r="K60" s="19" t="s">
        <v>120</v>
      </c>
      <c r="L60" s="17" t="s">
        <v>78</v>
      </c>
      <c r="M60" s="17" t="s">
        <v>258</v>
      </c>
      <c r="N60" s="17" t="s">
        <v>65</v>
      </c>
      <c r="O60" s="17" t="s">
        <v>0</v>
      </c>
      <c r="P60" s="17" t="s">
        <v>0</v>
      </c>
      <c r="Q60" s="37">
        <f>'[1]FEBE Academics 2024'!R58</f>
        <v>35126</v>
      </c>
      <c r="R60" s="38">
        <f ca="1">YEARFRAC(Q60,TODAY())</f>
        <v>30.425000000000001</v>
      </c>
      <c r="S60" s="37">
        <f>EDATE(Q60,12*65)</f>
        <v>58867</v>
      </c>
      <c r="T60" s="17">
        <v>30007204</v>
      </c>
      <c r="U60" s="17" t="s">
        <v>59</v>
      </c>
      <c r="V60" s="17" t="s">
        <v>66</v>
      </c>
      <c r="W60" s="17" t="s">
        <v>67</v>
      </c>
      <c r="X60" s="22" t="s">
        <v>1140</v>
      </c>
      <c r="Y60" s="23">
        <v>45736</v>
      </c>
      <c r="Z60" s="22" t="s">
        <v>0</v>
      </c>
      <c r="AA60" s="22" t="s">
        <v>0</v>
      </c>
      <c r="AB60" s="22" t="s">
        <v>0</v>
      </c>
      <c r="AC60" s="22" t="s">
        <v>0</v>
      </c>
      <c r="AD60" s="22" t="s">
        <v>0</v>
      </c>
      <c r="AE60" s="17" t="s">
        <v>0</v>
      </c>
      <c r="AF60" s="17" t="s">
        <v>0</v>
      </c>
      <c r="AG60" s="17" t="s">
        <v>0</v>
      </c>
      <c r="AH60" s="17" t="s">
        <v>0</v>
      </c>
      <c r="AI60" s="17" t="s">
        <v>0</v>
      </c>
      <c r="AJ60" s="22" t="s">
        <v>0</v>
      </c>
      <c r="AK60" s="22" t="s">
        <v>0</v>
      </c>
      <c r="AL60" s="22" t="s">
        <v>0</v>
      </c>
      <c r="AM60" s="25">
        <v>0</v>
      </c>
      <c r="AN60" s="25"/>
      <c r="AO60" s="17" t="s">
        <v>0</v>
      </c>
      <c r="AP60" s="17" t="s">
        <v>0</v>
      </c>
      <c r="AQ60" s="62"/>
      <c r="AR60" s="18" t="s">
        <v>1270</v>
      </c>
      <c r="AS60" s="17" t="s">
        <v>0</v>
      </c>
      <c r="AT60" s="17" t="s">
        <v>0</v>
      </c>
      <c r="AU60" s="17" t="s">
        <v>0</v>
      </c>
      <c r="AV60" s="17" t="s">
        <v>0</v>
      </c>
      <c r="AW60" s="39" t="s">
        <v>0</v>
      </c>
      <c r="AX60" s="17">
        <v>0</v>
      </c>
      <c r="AY60" s="17" t="s">
        <v>0</v>
      </c>
      <c r="AZ60" s="17" t="s">
        <v>0</v>
      </c>
      <c r="BA60" s="17">
        <v>0</v>
      </c>
      <c r="BB60" s="17" t="s">
        <v>0</v>
      </c>
      <c r="BC60" s="17" t="s">
        <v>0</v>
      </c>
      <c r="BD60" s="17" t="s">
        <v>0</v>
      </c>
      <c r="BE60" s="17" t="s">
        <v>0</v>
      </c>
      <c r="BF60" s="17" t="s">
        <v>0</v>
      </c>
    </row>
    <row r="61" spans="1:58" ht="17.850000000000001" customHeight="1">
      <c r="A61" s="17" t="s">
        <v>260</v>
      </c>
      <c r="B61" s="17">
        <v>30091221</v>
      </c>
      <c r="C61" s="199" t="s">
        <v>710</v>
      </c>
      <c r="D61" s="17" t="s">
        <v>711</v>
      </c>
      <c r="E61" s="22" t="s">
        <v>712</v>
      </c>
      <c r="F61" s="19" t="s">
        <v>434</v>
      </c>
      <c r="G61" s="19" t="s">
        <v>190</v>
      </c>
      <c r="H61" s="17" t="s">
        <v>713</v>
      </c>
      <c r="I61" s="19" t="s">
        <v>61</v>
      </c>
      <c r="J61" s="17" t="s">
        <v>62</v>
      </c>
      <c r="K61" s="19" t="s">
        <v>63</v>
      </c>
      <c r="L61" s="17" t="s">
        <v>78</v>
      </c>
      <c r="M61" s="17" t="s">
        <v>60</v>
      </c>
      <c r="N61" s="17" t="s">
        <v>373</v>
      </c>
      <c r="O61" s="17">
        <v>611</v>
      </c>
      <c r="P61" s="17" t="s">
        <v>714</v>
      </c>
      <c r="Q61" s="37">
        <f>'[1]FEBE Academics 2024'!R60</f>
        <v>30234</v>
      </c>
      <c r="R61" s="38">
        <f ca="1">YEARFRAC(Q61,TODAY())</f>
        <v>43.819444444444443</v>
      </c>
      <c r="S61" s="37">
        <f>EDATE(Q61,12*65)</f>
        <v>53975</v>
      </c>
      <c r="T61" s="17">
        <v>30010866</v>
      </c>
      <c r="U61" s="17" t="s">
        <v>265</v>
      </c>
      <c r="V61" s="17" t="s">
        <v>266</v>
      </c>
      <c r="W61" s="17" t="s">
        <v>267</v>
      </c>
      <c r="X61" s="22" t="s">
        <v>83</v>
      </c>
      <c r="Y61" s="23">
        <v>46001</v>
      </c>
      <c r="Z61" s="101" t="s">
        <v>715</v>
      </c>
      <c r="AA61" s="22">
        <v>2020</v>
      </c>
      <c r="AB61" s="22">
        <v>2025</v>
      </c>
      <c r="AC61" s="22" t="s">
        <v>473</v>
      </c>
      <c r="AD61" s="22" t="s">
        <v>0</v>
      </c>
      <c r="AE61" s="17" t="s">
        <v>0</v>
      </c>
      <c r="AF61" s="17" t="s">
        <v>0</v>
      </c>
      <c r="AG61" s="17" t="s">
        <v>0</v>
      </c>
      <c r="AH61" s="17" t="s">
        <v>0</v>
      </c>
      <c r="AI61" s="17" t="s">
        <v>0</v>
      </c>
      <c r="AJ61" s="22">
        <v>0.5</v>
      </c>
      <c r="AK61" s="22">
        <v>0</v>
      </c>
      <c r="AL61" s="22">
        <v>0</v>
      </c>
      <c r="AM61" s="22">
        <v>0</v>
      </c>
      <c r="AN61" s="22">
        <v>8.3299999999999999E-2</v>
      </c>
      <c r="AO61" s="17" t="s">
        <v>0</v>
      </c>
      <c r="AP61" s="17" t="s">
        <v>0</v>
      </c>
      <c r="AQ61" s="18" t="s">
        <v>1270</v>
      </c>
      <c r="AR61" s="18" t="s">
        <v>1270</v>
      </c>
      <c r="AS61" s="17" t="s">
        <v>0</v>
      </c>
      <c r="AT61" s="17" t="s">
        <v>0</v>
      </c>
      <c r="AU61" s="17" t="s">
        <v>0</v>
      </c>
      <c r="AV61" s="17" t="s">
        <v>0</v>
      </c>
      <c r="AW61" s="39">
        <v>0</v>
      </c>
      <c r="AX61" s="17">
        <v>0</v>
      </c>
      <c r="AY61" s="17" t="s">
        <v>0</v>
      </c>
      <c r="AZ61" s="17">
        <v>0</v>
      </c>
      <c r="BA61" s="17">
        <v>0</v>
      </c>
      <c r="BB61" s="63" t="s">
        <v>716</v>
      </c>
      <c r="BC61" s="17" t="s">
        <v>0</v>
      </c>
      <c r="BD61" s="17" t="s">
        <v>0</v>
      </c>
      <c r="BE61" s="17" t="s">
        <v>0</v>
      </c>
      <c r="BF61" s="17" t="s">
        <v>0</v>
      </c>
    </row>
    <row r="62" spans="1:58" s="47" customFormat="1" ht="17.850000000000001" customHeight="1">
      <c r="A62" s="17" t="s">
        <v>125</v>
      </c>
      <c r="B62" s="17">
        <v>30005140</v>
      </c>
      <c r="C62" s="17" t="s">
        <v>320</v>
      </c>
      <c r="D62" s="17" t="s">
        <v>321</v>
      </c>
      <c r="E62" s="22" t="s">
        <v>322</v>
      </c>
      <c r="F62" s="19" t="s">
        <v>257</v>
      </c>
      <c r="G62" s="19" t="s">
        <v>80</v>
      </c>
      <c r="H62" s="17" t="s">
        <v>317</v>
      </c>
      <c r="I62" s="19" t="s">
        <v>76</v>
      </c>
      <c r="J62" s="17" t="s">
        <v>62</v>
      </c>
      <c r="K62" s="19" t="s">
        <v>63</v>
      </c>
      <c r="L62" s="17" t="s">
        <v>64</v>
      </c>
      <c r="M62" s="17" t="s">
        <v>102</v>
      </c>
      <c r="N62" s="17" t="s">
        <v>65</v>
      </c>
      <c r="O62" s="17">
        <v>2080</v>
      </c>
      <c r="P62" s="17" t="s">
        <v>153</v>
      </c>
      <c r="Q62" s="37">
        <f>'[1]FEBE Academics 2024'!R61</f>
        <v>30459</v>
      </c>
      <c r="R62" s="21">
        <f ca="1">YEARFRAC(Q62,TODAY())</f>
        <v>43.2</v>
      </c>
      <c r="S62" s="20">
        <f>EDATE(Q62,12*65)</f>
        <v>54201</v>
      </c>
      <c r="T62" s="17">
        <v>30101611</v>
      </c>
      <c r="U62" s="17" t="s">
        <v>105</v>
      </c>
      <c r="V62" s="17" t="s">
        <v>76</v>
      </c>
      <c r="W62" s="17" t="s">
        <v>131</v>
      </c>
      <c r="X62" s="22" t="s">
        <v>132</v>
      </c>
      <c r="Y62" s="23">
        <v>45732</v>
      </c>
      <c r="Z62" s="34" t="s">
        <v>133</v>
      </c>
      <c r="AA62" s="34" t="s">
        <v>133</v>
      </c>
      <c r="AB62" s="34" t="s">
        <v>133</v>
      </c>
      <c r="AC62" s="34" t="s">
        <v>133</v>
      </c>
      <c r="AD62" s="34" t="s">
        <v>133</v>
      </c>
      <c r="AE62" s="34" t="s">
        <v>133</v>
      </c>
      <c r="AF62" s="18" t="s">
        <v>0</v>
      </c>
      <c r="AG62" s="18" t="s">
        <v>0</v>
      </c>
      <c r="AH62" s="17" t="s">
        <v>0</v>
      </c>
      <c r="AI62" s="17" t="s">
        <v>0</v>
      </c>
      <c r="AJ62" s="22">
        <v>1</v>
      </c>
      <c r="AK62" s="22">
        <v>0.17</v>
      </c>
      <c r="AL62" s="22">
        <v>0.75</v>
      </c>
      <c r="AM62" s="79">
        <v>0.25</v>
      </c>
      <c r="AN62" s="80"/>
      <c r="AO62" s="17"/>
      <c r="AP62" s="17" t="s">
        <v>0</v>
      </c>
      <c r="AQ62" s="18" t="s">
        <v>1270</v>
      </c>
      <c r="AR62" s="66" t="s">
        <v>275</v>
      </c>
      <c r="AS62" s="18" t="s">
        <v>0</v>
      </c>
      <c r="AT62" s="18" t="s">
        <v>0</v>
      </c>
      <c r="AU62" s="18" t="s">
        <v>0</v>
      </c>
      <c r="AV62" s="18">
        <v>68</v>
      </c>
      <c r="AW62" s="18">
        <v>13</v>
      </c>
      <c r="AX62" s="17">
        <v>0</v>
      </c>
      <c r="AY62" s="17">
        <v>5</v>
      </c>
      <c r="AZ62" s="17">
        <v>6</v>
      </c>
      <c r="BA62" s="17">
        <v>0</v>
      </c>
      <c r="BB62" s="18" t="s">
        <v>323</v>
      </c>
      <c r="BC62" s="18">
        <v>2</v>
      </c>
      <c r="BD62" s="18" t="s">
        <v>0</v>
      </c>
      <c r="BE62" s="18" t="s">
        <v>0</v>
      </c>
      <c r="BF62" s="18" t="s">
        <v>0</v>
      </c>
    </row>
    <row r="63" spans="1:58" s="26" customFormat="1" ht="17.850000000000001" customHeight="1">
      <c r="A63" s="17" t="s">
        <v>95</v>
      </c>
      <c r="B63" s="17">
        <v>30103651</v>
      </c>
      <c r="C63" s="65" t="s">
        <v>925</v>
      </c>
      <c r="D63" s="17" t="s">
        <v>926</v>
      </c>
      <c r="E63" s="22" t="s">
        <v>927</v>
      </c>
      <c r="F63" s="19" t="s">
        <v>928</v>
      </c>
      <c r="G63" s="19" t="s">
        <v>80</v>
      </c>
      <c r="H63" s="17" t="s">
        <v>60</v>
      </c>
      <c r="I63" s="19" t="s">
        <v>61</v>
      </c>
      <c r="J63" s="17" t="s">
        <v>62</v>
      </c>
      <c r="K63" s="19" t="s">
        <v>120</v>
      </c>
      <c r="L63" s="17" t="s">
        <v>78</v>
      </c>
      <c r="M63" s="17" t="s">
        <v>60</v>
      </c>
      <c r="N63" s="17" t="s">
        <v>65</v>
      </c>
      <c r="O63" s="17" t="s">
        <v>0</v>
      </c>
      <c r="P63" s="17" t="s">
        <v>0</v>
      </c>
      <c r="Q63" s="37">
        <f>'[1]FEBE Academics 2024'!R63</f>
        <v>30831</v>
      </c>
      <c r="R63" s="38">
        <f ca="1">YEARFRAC(Q63,TODAY())</f>
        <v>42.18333333333333</v>
      </c>
      <c r="S63" s="37">
        <f>EDATE(Q63,12*65)</f>
        <v>54572</v>
      </c>
      <c r="T63" s="17">
        <v>30110521</v>
      </c>
      <c r="U63" s="17" t="s">
        <v>105</v>
      </c>
      <c r="V63" s="17" t="s">
        <v>106</v>
      </c>
      <c r="W63" s="17" t="s">
        <v>107</v>
      </c>
      <c r="X63" s="22" t="s">
        <v>142</v>
      </c>
      <c r="Y63" s="23">
        <v>45728</v>
      </c>
      <c r="Z63" s="22" t="s">
        <v>0</v>
      </c>
      <c r="AA63" s="22" t="s">
        <v>0</v>
      </c>
      <c r="AB63" s="22" t="s">
        <v>0</v>
      </c>
      <c r="AC63" s="22" t="s">
        <v>0</v>
      </c>
      <c r="AD63" s="22" t="s">
        <v>0</v>
      </c>
      <c r="AE63" s="17" t="s">
        <v>0</v>
      </c>
      <c r="AF63" s="17" t="s">
        <v>0</v>
      </c>
      <c r="AG63" s="17" t="s">
        <v>0</v>
      </c>
      <c r="AH63" s="17" t="s">
        <v>0</v>
      </c>
      <c r="AI63" s="17" t="s">
        <v>0</v>
      </c>
      <c r="AJ63" s="22">
        <v>0.5</v>
      </c>
      <c r="AK63" s="22">
        <v>0</v>
      </c>
      <c r="AL63" s="22">
        <v>0</v>
      </c>
      <c r="AM63" s="22">
        <v>0</v>
      </c>
      <c r="AN63" s="22"/>
      <c r="AO63" s="17" t="s">
        <v>0</v>
      </c>
      <c r="AP63" s="17" t="s">
        <v>0</v>
      </c>
      <c r="AQ63" s="62"/>
      <c r="AR63" s="18" t="s">
        <v>1270</v>
      </c>
      <c r="AS63" s="17" t="s">
        <v>0</v>
      </c>
      <c r="AT63" s="17" t="s">
        <v>0</v>
      </c>
      <c r="AU63" s="17" t="s">
        <v>0</v>
      </c>
      <c r="AV63" s="17" t="s">
        <v>0</v>
      </c>
      <c r="AW63" s="39">
        <v>10</v>
      </c>
      <c r="AX63" s="17">
        <v>0</v>
      </c>
      <c r="AY63" s="17" t="s">
        <v>0</v>
      </c>
      <c r="AZ63" s="17">
        <v>0</v>
      </c>
      <c r="BA63" s="17">
        <v>7</v>
      </c>
      <c r="BB63" s="17" t="s">
        <v>94</v>
      </c>
      <c r="BC63" s="17" t="s">
        <v>0</v>
      </c>
      <c r="BD63" s="17" t="s">
        <v>0</v>
      </c>
      <c r="BE63" s="17" t="s">
        <v>0</v>
      </c>
      <c r="BF63" s="17" t="s">
        <v>0</v>
      </c>
    </row>
    <row r="64" spans="1:58" ht="17.850000000000001" customHeight="1">
      <c r="A64" s="17" t="s">
        <v>69</v>
      </c>
      <c r="B64" s="17">
        <v>30097316</v>
      </c>
      <c r="C64" s="17" t="s">
        <v>523</v>
      </c>
      <c r="D64" s="17" t="s">
        <v>524</v>
      </c>
      <c r="E64" s="22" t="s">
        <v>525</v>
      </c>
      <c r="F64" s="19" t="s">
        <v>479</v>
      </c>
      <c r="G64" s="19" t="s">
        <v>80</v>
      </c>
      <c r="H64" s="18" t="s">
        <v>526</v>
      </c>
      <c r="I64" s="19" t="s">
        <v>61</v>
      </c>
      <c r="J64" s="17" t="s">
        <v>197</v>
      </c>
      <c r="K64" s="19" t="s">
        <v>63</v>
      </c>
      <c r="L64" s="17" t="s">
        <v>78</v>
      </c>
      <c r="M64" s="17" t="s">
        <v>112</v>
      </c>
      <c r="N64" s="17" t="s">
        <v>198</v>
      </c>
      <c r="O64" s="17">
        <v>581</v>
      </c>
      <c r="P64" s="17" t="s">
        <v>199</v>
      </c>
      <c r="Q64" s="37">
        <f>'[1]FEBE Academics 2024'!R64</f>
        <v>31424</v>
      </c>
      <c r="R64" s="21">
        <f ca="1">YEARFRAC(Q64,TODAY())</f>
        <v>40.56388888888889</v>
      </c>
      <c r="S64" s="20">
        <f>EDATE(Q64,12*65)</f>
        <v>55165</v>
      </c>
      <c r="T64" s="17">
        <v>30000294</v>
      </c>
      <c r="U64" s="17" t="s">
        <v>80</v>
      </c>
      <c r="V64" s="17" t="s">
        <v>81</v>
      </c>
      <c r="W64" s="17" t="s">
        <v>82</v>
      </c>
      <c r="X64" s="22" t="s">
        <v>154</v>
      </c>
      <c r="Y64" s="23">
        <v>45979</v>
      </c>
      <c r="Z64" s="22" t="s">
        <v>0</v>
      </c>
      <c r="AA64" s="22" t="s">
        <v>0</v>
      </c>
      <c r="AB64" s="22" t="s">
        <v>0</v>
      </c>
      <c r="AC64" s="22" t="s">
        <v>0</v>
      </c>
      <c r="AD64" s="22" t="s">
        <v>0</v>
      </c>
      <c r="AE64" s="17" t="s">
        <v>0</v>
      </c>
      <c r="AF64" s="17" t="s">
        <v>0</v>
      </c>
      <c r="AG64" s="17" t="s">
        <v>0</v>
      </c>
      <c r="AH64" s="17" t="s">
        <v>0</v>
      </c>
      <c r="AI64" s="17" t="s">
        <v>0</v>
      </c>
      <c r="AJ64" s="22">
        <v>1</v>
      </c>
      <c r="AK64" s="36">
        <v>1.17</v>
      </c>
      <c r="AL64" s="22">
        <v>1.3</v>
      </c>
      <c r="AM64" s="39">
        <f>0.05+0.1667</f>
        <v>0.2167</v>
      </c>
      <c r="AN64" s="17">
        <v>5.0853999999999999</v>
      </c>
      <c r="AO64" s="17" t="s">
        <v>0</v>
      </c>
      <c r="AP64" s="17" t="s">
        <v>0</v>
      </c>
      <c r="AQ64" s="18" t="s">
        <v>1270</v>
      </c>
      <c r="AR64" s="191" t="s">
        <v>1270</v>
      </c>
      <c r="AS64" s="17" t="s">
        <v>0</v>
      </c>
      <c r="AT64" s="17" t="s">
        <v>0</v>
      </c>
      <c r="AU64" s="17" t="s">
        <v>0</v>
      </c>
      <c r="AV64" s="17" t="s">
        <v>0</v>
      </c>
      <c r="AW64" s="18">
        <v>38</v>
      </c>
      <c r="AX64" s="17">
        <v>12</v>
      </c>
      <c r="AY64" s="17" t="s">
        <v>0</v>
      </c>
      <c r="AZ64" s="17">
        <v>15</v>
      </c>
      <c r="BA64" s="17">
        <v>13</v>
      </c>
      <c r="BB64" s="17" t="s">
        <v>94</v>
      </c>
      <c r="BC64" s="17" t="s">
        <v>0</v>
      </c>
      <c r="BD64" s="17" t="s">
        <v>0</v>
      </c>
      <c r="BE64" s="17" t="s">
        <v>0</v>
      </c>
      <c r="BF64" s="17" t="s">
        <v>0</v>
      </c>
    </row>
    <row r="65" spans="1:58" ht="17.850000000000001" customHeight="1">
      <c r="A65" s="17" t="s">
        <v>125</v>
      </c>
      <c r="B65" s="17">
        <v>30093523</v>
      </c>
      <c r="C65" s="17" t="s">
        <v>1266</v>
      </c>
      <c r="D65" s="17" t="s">
        <v>1267</v>
      </c>
      <c r="E65" s="22" t="s">
        <v>1268</v>
      </c>
      <c r="F65" s="19" t="s">
        <v>1261</v>
      </c>
      <c r="G65" s="19" t="s">
        <v>74</v>
      </c>
      <c r="H65" s="17" t="s">
        <v>60</v>
      </c>
      <c r="I65" s="19" t="s">
        <v>76</v>
      </c>
      <c r="J65" s="17" t="s">
        <v>62</v>
      </c>
      <c r="K65" s="19" t="s">
        <v>120</v>
      </c>
      <c r="L65" s="17" t="s">
        <v>78</v>
      </c>
      <c r="M65" s="17" t="s">
        <v>60</v>
      </c>
      <c r="N65" s="17" t="s">
        <v>65</v>
      </c>
      <c r="O65" s="17" t="s">
        <v>0</v>
      </c>
      <c r="P65" s="17" t="s">
        <v>0</v>
      </c>
      <c r="Q65" s="37">
        <f>'[1]FEBE Academics 2024'!R65</f>
        <v>33309</v>
      </c>
      <c r="R65" s="38">
        <f ca="1">YEARFRAC(Q65,TODAY())</f>
        <v>35.397222222222226</v>
      </c>
      <c r="S65" s="37">
        <f>EDATE(Q65,12*65)</f>
        <v>57051</v>
      </c>
      <c r="T65" s="17">
        <v>30101611</v>
      </c>
      <c r="U65" s="17" t="s">
        <v>105</v>
      </c>
      <c r="V65" s="17" t="s">
        <v>76</v>
      </c>
      <c r="W65" s="17" t="s">
        <v>131</v>
      </c>
      <c r="X65" s="22" t="s">
        <v>496</v>
      </c>
      <c r="Y65" s="23">
        <v>45979</v>
      </c>
      <c r="Z65" s="22" t="s">
        <v>133</v>
      </c>
      <c r="AA65" s="22" t="s">
        <v>133</v>
      </c>
      <c r="AB65" s="22" t="s">
        <v>133</v>
      </c>
      <c r="AC65" s="22" t="s">
        <v>133</v>
      </c>
      <c r="AD65" s="22" t="s">
        <v>133</v>
      </c>
      <c r="AE65" s="34" t="s">
        <v>133</v>
      </c>
      <c r="AF65" s="17" t="s">
        <v>0</v>
      </c>
      <c r="AG65" s="17" t="s">
        <v>0</v>
      </c>
      <c r="AH65" s="17" t="s">
        <v>0</v>
      </c>
      <c r="AI65" s="17" t="s">
        <v>0</v>
      </c>
      <c r="AJ65" s="22">
        <v>0.5</v>
      </c>
      <c r="AK65" s="22">
        <v>0</v>
      </c>
      <c r="AL65" s="22">
        <v>0</v>
      </c>
      <c r="AM65" s="25">
        <v>0</v>
      </c>
      <c r="AN65" s="25"/>
      <c r="AO65" s="17" t="s">
        <v>0</v>
      </c>
      <c r="AP65" s="17" t="s">
        <v>0</v>
      </c>
      <c r="AQ65" s="18" t="s">
        <v>1270</v>
      </c>
      <c r="AR65" s="18"/>
      <c r="AS65" s="17" t="s">
        <v>0</v>
      </c>
      <c r="AT65" s="17" t="s">
        <v>0</v>
      </c>
      <c r="AU65" s="17" t="s">
        <v>0</v>
      </c>
      <c r="AV65" s="17" t="s">
        <v>0</v>
      </c>
      <c r="AW65" s="39" t="s">
        <v>0</v>
      </c>
      <c r="AX65" s="17">
        <v>0</v>
      </c>
      <c r="AY65" s="17" t="s">
        <v>0</v>
      </c>
      <c r="AZ65" s="17" t="s">
        <v>0</v>
      </c>
      <c r="BA65" s="17">
        <v>0</v>
      </c>
      <c r="BB65" s="17" t="s">
        <v>94</v>
      </c>
      <c r="BC65" s="17" t="s">
        <v>0</v>
      </c>
      <c r="BD65" s="17" t="s">
        <v>0</v>
      </c>
      <c r="BE65" s="17" t="s">
        <v>0</v>
      </c>
      <c r="BF65" s="17" t="s">
        <v>0</v>
      </c>
    </row>
    <row r="66" spans="1:58" ht="17.850000000000001" customHeight="1">
      <c r="A66" s="17" t="s">
        <v>260</v>
      </c>
      <c r="B66" s="17">
        <v>30097047</v>
      </c>
      <c r="C66" s="65" t="s">
        <v>833</v>
      </c>
      <c r="D66" s="17" t="s">
        <v>834</v>
      </c>
      <c r="E66" s="22" t="s">
        <v>835</v>
      </c>
      <c r="F66" s="19" t="s">
        <v>800</v>
      </c>
      <c r="G66" s="19" t="s">
        <v>74</v>
      </c>
      <c r="H66" s="17" t="s">
        <v>258</v>
      </c>
      <c r="I66" s="19" t="s">
        <v>76</v>
      </c>
      <c r="J66" s="17" t="s">
        <v>62</v>
      </c>
      <c r="K66" s="19" t="s">
        <v>63</v>
      </c>
      <c r="L66" s="17" t="s">
        <v>64</v>
      </c>
      <c r="M66" s="17" t="s">
        <v>258</v>
      </c>
      <c r="N66" s="17" t="s">
        <v>65</v>
      </c>
      <c r="O66" s="17">
        <v>2080</v>
      </c>
      <c r="P66" s="17" t="s">
        <v>153</v>
      </c>
      <c r="Q66" s="37">
        <f>'[1]FEBE Academics 2024'!R66</f>
        <v>30139</v>
      </c>
      <c r="R66" s="21">
        <f ca="1">YEARFRAC(Q66,TODAY())</f>
        <v>44.077777777777776</v>
      </c>
      <c r="S66" s="20">
        <f>EDATE(Q66,12*65)</f>
        <v>53880</v>
      </c>
      <c r="T66" s="17">
        <v>30010866</v>
      </c>
      <c r="U66" s="17" t="s">
        <v>265</v>
      </c>
      <c r="V66" s="17" t="s">
        <v>266</v>
      </c>
      <c r="W66" s="17" t="s">
        <v>267</v>
      </c>
      <c r="X66" s="22" t="s">
        <v>836</v>
      </c>
      <c r="Y66" s="23">
        <v>46006</v>
      </c>
      <c r="Z66" s="34" t="s">
        <v>0</v>
      </c>
      <c r="AA66" s="34" t="s">
        <v>0</v>
      </c>
      <c r="AB66" s="34" t="s">
        <v>0</v>
      </c>
      <c r="AC66" s="34" t="s">
        <v>0</v>
      </c>
      <c r="AD66" s="34" t="s">
        <v>0</v>
      </c>
      <c r="AE66" s="18" t="s">
        <v>0</v>
      </c>
      <c r="AF66" s="18" t="s">
        <v>0</v>
      </c>
      <c r="AG66" s="18" t="s">
        <v>0</v>
      </c>
      <c r="AH66" s="17" t="s">
        <v>0</v>
      </c>
      <c r="AI66" s="17" t="s">
        <v>0</v>
      </c>
      <c r="AJ66" s="22">
        <v>0.25</v>
      </c>
      <c r="AK66" s="22">
        <v>0</v>
      </c>
      <c r="AL66" s="22">
        <v>0</v>
      </c>
      <c r="AM66" s="22">
        <v>0</v>
      </c>
      <c r="AN66" s="22"/>
      <c r="AO66" s="17" t="s">
        <v>0</v>
      </c>
      <c r="AP66" s="17" t="s">
        <v>0</v>
      </c>
      <c r="AQ66" s="39"/>
      <c r="AR66" s="190" t="s">
        <v>1270</v>
      </c>
      <c r="AS66" s="18" t="s">
        <v>0</v>
      </c>
      <c r="AT66" s="18" t="s">
        <v>0</v>
      </c>
      <c r="AU66" s="18" t="s">
        <v>0</v>
      </c>
      <c r="AV66" s="18" t="s">
        <v>0</v>
      </c>
      <c r="AW66" s="18" t="s">
        <v>0</v>
      </c>
      <c r="AX66" s="17">
        <v>0</v>
      </c>
      <c r="AY66" s="17" t="s">
        <v>0</v>
      </c>
      <c r="AZ66" s="17" t="s">
        <v>0</v>
      </c>
      <c r="BA66" s="17">
        <v>0</v>
      </c>
      <c r="BB66" s="18" t="s">
        <v>94</v>
      </c>
      <c r="BC66" s="18" t="s">
        <v>0</v>
      </c>
      <c r="BD66" s="18" t="s">
        <v>0</v>
      </c>
      <c r="BE66" s="18" t="s">
        <v>0</v>
      </c>
      <c r="BF66" s="18" t="s">
        <v>0</v>
      </c>
    </row>
    <row r="67" spans="1:58" s="47" customFormat="1" ht="17.850000000000001" customHeight="1">
      <c r="A67" s="17" t="s">
        <v>54</v>
      </c>
      <c r="B67" s="17">
        <v>30005530</v>
      </c>
      <c r="C67" s="199" t="s">
        <v>801</v>
      </c>
      <c r="D67" s="17" t="s">
        <v>802</v>
      </c>
      <c r="E67" s="17" t="s">
        <v>803</v>
      </c>
      <c r="F67" s="19" t="s">
        <v>76</v>
      </c>
      <c r="G67" s="19" t="s">
        <v>74</v>
      </c>
      <c r="H67" s="17" t="s">
        <v>102</v>
      </c>
      <c r="I67" s="19" t="s">
        <v>76</v>
      </c>
      <c r="J67" s="17" t="s">
        <v>77</v>
      </c>
      <c r="K67" s="19" t="s">
        <v>63</v>
      </c>
      <c r="L67" s="17" t="s">
        <v>78</v>
      </c>
      <c r="M67" s="17" t="s">
        <v>102</v>
      </c>
      <c r="N67" s="17" t="s">
        <v>65</v>
      </c>
      <c r="O67" s="17">
        <v>595</v>
      </c>
      <c r="P67" s="17" t="s">
        <v>804</v>
      </c>
      <c r="Q67" s="20">
        <f>'[1]FEBE Academics 2024'!R67</f>
        <v>24635</v>
      </c>
      <c r="R67" s="21">
        <f ca="1">YEARFRAC(Q67,TODAY())</f>
        <v>59.147222222222226</v>
      </c>
      <c r="S67" s="20">
        <f>EDATE(Q67,12*65)</f>
        <v>48377</v>
      </c>
      <c r="T67" s="17">
        <v>30007204</v>
      </c>
      <c r="U67" s="17" t="s">
        <v>59</v>
      </c>
      <c r="V67" s="17" t="s">
        <v>66</v>
      </c>
      <c r="W67" s="17" t="s">
        <v>67</v>
      </c>
      <c r="X67" s="22" t="s">
        <v>634</v>
      </c>
      <c r="Y67" s="23">
        <v>34304</v>
      </c>
      <c r="Z67" s="22" t="s">
        <v>0</v>
      </c>
      <c r="AA67" s="22" t="s">
        <v>0</v>
      </c>
      <c r="AB67" s="22" t="s">
        <v>0</v>
      </c>
      <c r="AC67" s="22" t="s">
        <v>0</v>
      </c>
      <c r="AD67" s="22" t="s">
        <v>0</v>
      </c>
      <c r="AE67" s="17" t="s">
        <v>0</v>
      </c>
      <c r="AF67" s="17" t="s">
        <v>0</v>
      </c>
      <c r="AG67" s="17" t="s">
        <v>0</v>
      </c>
      <c r="AH67" s="17" t="s">
        <v>0</v>
      </c>
      <c r="AI67" s="17" t="s">
        <v>0</v>
      </c>
      <c r="AJ67" s="22">
        <v>1</v>
      </c>
      <c r="AK67" s="22">
        <v>0</v>
      </c>
      <c r="AL67" s="22">
        <v>0</v>
      </c>
      <c r="AM67" s="25">
        <v>0</v>
      </c>
      <c r="AN67" s="25"/>
      <c r="AO67" s="17" t="s">
        <v>0</v>
      </c>
      <c r="AP67" s="17" t="s">
        <v>0</v>
      </c>
      <c r="AQ67" s="18" t="s">
        <v>1270</v>
      </c>
      <c r="AR67" s="18"/>
      <c r="AS67" s="17" t="s">
        <v>0</v>
      </c>
      <c r="AT67" s="17" t="s">
        <v>0</v>
      </c>
      <c r="AU67" s="17" t="s">
        <v>0</v>
      </c>
      <c r="AV67" s="17" t="s">
        <v>0</v>
      </c>
      <c r="AW67" s="18" t="s">
        <v>0</v>
      </c>
      <c r="AX67" s="17">
        <v>0</v>
      </c>
      <c r="AY67" s="17" t="s">
        <v>0</v>
      </c>
      <c r="AZ67" s="17" t="s">
        <v>0</v>
      </c>
      <c r="BA67" s="17">
        <v>0</v>
      </c>
      <c r="BB67" s="17" t="s">
        <v>94</v>
      </c>
      <c r="BC67" s="17" t="s">
        <v>0</v>
      </c>
      <c r="BD67" s="17" t="s">
        <v>0</v>
      </c>
      <c r="BE67" s="17" t="s">
        <v>0</v>
      </c>
      <c r="BF67" s="17" t="s">
        <v>0</v>
      </c>
    </row>
    <row r="68" spans="1:58" s="68" customFormat="1" ht="17.850000000000001" customHeight="1">
      <c r="A68" s="27" t="s">
        <v>125</v>
      </c>
      <c r="B68" s="27">
        <v>30005612</v>
      </c>
      <c r="C68" s="27" t="s">
        <v>517</v>
      </c>
      <c r="D68" s="27" t="s">
        <v>518</v>
      </c>
      <c r="E68" s="27" t="s">
        <v>519</v>
      </c>
      <c r="F68" s="29" t="s">
        <v>520</v>
      </c>
      <c r="G68" s="29" t="s">
        <v>74</v>
      </c>
      <c r="H68" s="27" t="s">
        <v>102</v>
      </c>
      <c r="I68" s="29" t="s">
        <v>76</v>
      </c>
      <c r="J68" s="27" t="s">
        <v>101</v>
      </c>
      <c r="K68" s="29" t="s">
        <v>63</v>
      </c>
      <c r="L68" s="27" t="s">
        <v>78</v>
      </c>
      <c r="M68" s="27" t="s">
        <v>521</v>
      </c>
      <c r="N68" s="27" t="s">
        <v>65</v>
      </c>
      <c r="O68" s="27">
        <v>119</v>
      </c>
      <c r="P68" s="27" t="s">
        <v>394</v>
      </c>
      <c r="Q68" s="41">
        <v>22391</v>
      </c>
      <c r="R68" s="27"/>
      <c r="S68" s="27"/>
      <c r="T68" s="27">
        <v>30101611</v>
      </c>
      <c r="U68" s="27" t="s">
        <v>105</v>
      </c>
      <c r="V68" s="27" t="s">
        <v>76</v>
      </c>
      <c r="W68" s="27" t="s">
        <v>131</v>
      </c>
      <c r="X68" s="27" t="s">
        <v>522</v>
      </c>
      <c r="Y68" s="42">
        <v>29952</v>
      </c>
      <c r="Z68" s="27" t="s">
        <v>133</v>
      </c>
      <c r="AA68" s="27" t="s">
        <v>133</v>
      </c>
      <c r="AB68" s="27" t="s">
        <v>133</v>
      </c>
      <c r="AC68" s="27" t="s">
        <v>133</v>
      </c>
      <c r="AD68" s="27" t="s">
        <v>133</v>
      </c>
      <c r="AE68" s="27" t="s">
        <v>133</v>
      </c>
      <c r="AF68" s="27"/>
      <c r="AG68" s="27"/>
      <c r="AH68" s="27"/>
      <c r="AI68" s="27"/>
      <c r="AJ68" s="27"/>
      <c r="AK68" s="27"/>
      <c r="AL68" s="27"/>
      <c r="AM68" s="27"/>
      <c r="AN68" s="17"/>
      <c r="AO68" s="27"/>
      <c r="AP68" s="27"/>
      <c r="AQ68" s="18" t="s">
        <v>1270</v>
      </c>
      <c r="AR68" s="18"/>
      <c r="AS68" s="27"/>
      <c r="AT68" s="27"/>
      <c r="AU68" s="27"/>
      <c r="AV68" s="27"/>
      <c r="AW68" s="27"/>
      <c r="AX68" s="27"/>
      <c r="AY68" s="27"/>
      <c r="AZ68" s="27"/>
      <c r="BA68" s="27"/>
      <c r="BB68" s="27"/>
      <c r="BC68" s="27"/>
      <c r="BD68" s="27"/>
      <c r="BE68" s="27"/>
      <c r="BF68" s="27"/>
    </row>
    <row r="69" spans="1:58" s="26" customFormat="1" ht="17.850000000000001" customHeight="1">
      <c r="A69" s="17" t="s">
        <v>95</v>
      </c>
      <c r="B69" s="17">
        <v>30005674</v>
      </c>
      <c r="C69" s="17" t="s">
        <v>468</v>
      </c>
      <c r="D69" s="17" t="s">
        <v>469</v>
      </c>
      <c r="E69" s="17" t="s">
        <v>470</v>
      </c>
      <c r="F69" s="19" t="s">
        <v>61</v>
      </c>
      <c r="G69" s="19" t="s">
        <v>190</v>
      </c>
      <c r="H69" s="17" t="s">
        <v>60</v>
      </c>
      <c r="I69" s="19" t="s">
        <v>61</v>
      </c>
      <c r="J69" s="17" t="s">
        <v>101</v>
      </c>
      <c r="K69" s="19" t="s">
        <v>63</v>
      </c>
      <c r="L69" s="17" t="s">
        <v>78</v>
      </c>
      <c r="M69" s="18" t="s">
        <v>60</v>
      </c>
      <c r="N69" s="17" t="s">
        <v>65</v>
      </c>
      <c r="O69" s="17">
        <v>1012</v>
      </c>
      <c r="P69" s="17" t="s">
        <v>104</v>
      </c>
      <c r="Q69" s="20">
        <f>'[1]FEBE Academics 2024'!R69</f>
        <v>31023</v>
      </c>
      <c r="R69" s="21">
        <f ca="1">YEARFRAC(Q69,TODAY())</f>
        <v>41.661111111111111</v>
      </c>
      <c r="S69" s="20">
        <f>EDATE(Q69,12*65)</f>
        <v>54764</v>
      </c>
      <c r="T69" s="17">
        <v>30110521</v>
      </c>
      <c r="U69" s="17" t="s">
        <v>105</v>
      </c>
      <c r="V69" s="17" t="s">
        <v>106</v>
      </c>
      <c r="W69" s="17" t="s">
        <v>107</v>
      </c>
      <c r="X69" s="22" t="s">
        <v>471</v>
      </c>
      <c r="Y69" s="23">
        <v>45977</v>
      </c>
      <c r="Z69" s="52" t="s">
        <v>472</v>
      </c>
      <c r="AA69" s="34">
        <v>2019</v>
      </c>
      <c r="AB69" s="34">
        <v>2022</v>
      </c>
      <c r="AC69" s="34" t="s">
        <v>473</v>
      </c>
      <c r="AD69" s="34" t="s">
        <v>474</v>
      </c>
      <c r="AE69" s="17" t="s">
        <v>0</v>
      </c>
      <c r="AF69" s="17" t="s">
        <v>0</v>
      </c>
      <c r="AG69" s="17" t="s">
        <v>0</v>
      </c>
      <c r="AH69" s="17" t="s">
        <v>0</v>
      </c>
      <c r="AI69" s="17" t="s">
        <v>0</v>
      </c>
      <c r="AJ69" s="22">
        <v>0.5</v>
      </c>
      <c r="AK69" s="22">
        <v>0</v>
      </c>
      <c r="AL69" s="22">
        <v>0.17</v>
      </c>
      <c r="AM69" s="32">
        <v>0</v>
      </c>
      <c r="AN69" s="22"/>
      <c r="AO69" s="17" t="s">
        <v>0</v>
      </c>
      <c r="AP69" s="17" t="s">
        <v>0</v>
      </c>
      <c r="AQ69" s="18" t="s">
        <v>1270</v>
      </c>
      <c r="AR69" s="18" t="s">
        <v>1270</v>
      </c>
      <c r="AS69" s="17" t="s">
        <v>0</v>
      </c>
      <c r="AT69" s="17" t="s">
        <v>0</v>
      </c>
      <c r="AU69" s="17" t="s">
        <v>0</v>
      </c>
      <c r="AV69" s="17" t="s">
        <v>0</v>
      </c>
      <c r="AW69" s="18" t="s">
        <v>0</v>
      </c>
      <c r="AX69" s="17">
        <v>0</v>
      </c>
      <c r="AY69" s="17" t="s">
        <v>0</v>
      </c>
      <c r="AZ69" s="17" t="s">
        <v>0</v>
      </c>
      <c r="BA69" s="17">
        <v>0</v>
      </c>
      <c r="BB69" s="40" t="s">
        <v>475</v>
      </c>
      <c r="BC69" s="17" t="s">
        <v>0</v>
      </c>
      <c r="BD69" s="17" t="s">
        <v>0</v>
      </c>
      <c r="BE69" s="18" t="s">
        <v>0</v>
      </c>
      <c r="BF69" s="18" t="s">
        <v>0</v>
      </c>
    </row>
    <row r="70" spans="1:58" ht="17.850000000000001" customHeight="1">
      <c r="A70" s="17" t="s">
        <v>260</v>
      </c>
      <c r="B70" s="17">
        <v>30005673</v>
      </c>
      <c r="C70" s="17" t="s">
        <v>767</v>
      </c>
      <c r="D70" s="17" t="s">
        <v>768</v>
      </c>
      <c r="E70" s="17" t="s">
        <v>470</v>
      </c>
      <c r="F70" s="19" t="s">
        <v>76</v>
      </c>
      <c r="G70" s="19" t="s">
        <v>59</v>
      </c>
      <c r="H70" s="17" t="s">
        <v>60</v>
      </c>
      <c r="I70" s="19" t="s">
        <v>61</v>
      </c>
      <c r="J70" s="17" t="s">
        <v>101</v>
      </c>
      <c r="K70" s="19" t="s">
        <v>63</v>
      </c>
      <c r="L70" s="17" t="s">
        <v>78</v>
      </c>
      <c r="M70" s="18" t="s">
        <v>60</v>
      </c>
      <c r="N70" s="17" t="s">
        <v>65</v>
      </c>
      <c r="O70" s="17">
        <v>1012</v>
      </c>
      <c r="P70" s="17" t="s">
        <v>104</v>
      </c>
      <c r="Q70" s="20">
        <f>'[1]FEBE Academics 2024'!R70</f>
        <v>24516</v>
      </c>
      <c r="R70" s="21">
        <f ca="1">YEARFRAC(Q70,TODAY())</f>
        <v>59.477777777777774</v>
      </c>
      <c r="S70" s="20">
        <f>EDATE(Q70,12*65)</f>
        <v>48257</v>
      </c>
      <c r="T70" s="17">
        <v>30010866</v>
      </c>
      <c r="U70" s="17" t="s">
        <v>265</v>
      </c>
      <c r="V70" s="17" t="s">
        <v>266</v>
      </c>
      <c r="W70" s="17" t="s">
        <v>267</v>
      </c>
      <c r="X70" s="22" t="s">
        <v>471</v>
      </c>
      <c r="Y70" s="23">
        <v>45725</v>
      </c>
      <c r="Z70" s="22" t="s">
        <v>769</v>
      </c>
      <c r="AA70" s="34">
        <v>2024</v>
      </c>
      <c r="AB70" s="34">
        <v>2029</v>
      </c>
      <c r="AC70" s="34" t="s">
        <v>770</v>
      </c>
      <c r="AD70" s="34" t="s">
        <v>0</v>
      </c>
      <c r="AE70" s="17" t="s">
        <v>0</v>
      </c>
      <c r="AF70" s="17" t="s">
        <v>0</v>
      </c>
      <c r="AG70" s="17" t="s">
        <v>0</v>
      </c>
      <c r="AH70" s="17" t="s">
        <v>0</v>
      </c>
      <c r="AI70" s="17" t="s">
        <v>0</v>
      </c>
      <c r="AJ70" s="22">
        <v>0.5</v>
      </c>
      <c r="AK70" s="22">
        <v>0</v>
      </c>
      <c r="AL70" s="22">
        <v>0</v>
      </c>
      <c r="AM70" s="22">
        <v>0</v>
      </c>
      <c r="AN70" s="22"/>
      <c r="AO70" s="17" t="s">
        <v>0</v>
      </c>
      <c r="AP70" s="17" t="s">
        <v>0</v>
      </c>
      <c r="AQ70" s="18" t="s">
        <v>1270</v>
      </c>
      <c r="AR70" s="18"/>
      <c r="AS70" s="17" t="s">
        <v>0</v>
      </c>
      <c r="AT70" s="17" t="s">
        <v>0</v>
      </c>
      <c r="AU70" s="17" t="s">
        <v>0</v>
      </c>
      <c r="AV70" s="17" t="s">
        <v>0</v>
      </c>
      <c r="AW70" s="18" t="s">
        <v>0</v>
      </c>
      <c r="AX70" s="17">
        <v>0</v>
      </c>
      <c r="AY70" s="17" t="s">
        <v>0</v>
      </c>
      <c r="AZ70" s="17" t="s">
        <v>0</v>
      </c>
      <c r="BA70" s="17">
        <v>0</v>
      </c>
      <c r="BB70" s="17" t="s">
        <v>94</v>
      </c>
      <c r="BC70" s="17" t="s">
        <v>0</v>
      </c>
      <c r="BD70" s="17" t="s">
        <v>0</v>
      </c>
      <c r="BE70" s="18" t="s">
        <v>0</v>
      </c>
      <c r="BF70" s="18" t="s">
        <v>0</v>
      </c>
    </row>
    <row r="71" spans="1:58" s="68" customFormat="1" ht="17.850000000000001" customHeight="1">
      <c r="A71" s="17" t="s">
        <v>69</v>
      </c>
      <c r="B71" s="17">
        <v>30101783</v>
      </c>
      <c r="C71" s="17" t="s">
        <v>482</v>
      </c>
      <c r="D71" s="17" t="s">
        <v>483</v>
      </c>
      <c r="E71" s="17" t="s">
        <v>484</v>
      </c>
      <c r="F71" s="19" t="s">
        <v>485</v>
      </c>
      <c r="G71" s="19" t="s">
        <v>59</v>
      </c>
      <c r="H71" s="17" t="s">
        <v>75</v>
      </c>
      <c r="I71" s="19" t="s">
        <v>61</v>
      </c>
      <c r="J71" s="17" t="s">
        <v>101</v>
      </c>
      <c r="K71" s="19" t="s">
        <v>120</v>
      </c>
      <c r="L71" s="17" t="s">
        <v>78</v>
      </c>
      <c r="M71" s="17" t="s">
        <v>486</v>
      </c>
      <c r="N71" s="17" t="s">
        <v>65</v>
      </c>
      <c r="O71" s="17" t="s">
        <v>0</v>
      </c>
      <c r="P71" s="17" t="s">
        <v>0</v>
      </c>
      <c r="Q71" s="37">
        <f>'[1]FEBE Academics 2024'!R71</f>
        <v>30463</v>
      </c>
      <c r="R71" s="38">
        <f ca="1">YEARFRAC(Q71,TODAY())</f>
        <v>43.18888888888889</v>
      </c>
      <c r="S71" s="37">
        <f>EDATE(Q71,12*65)</f>
        <v>54205</v>
      </c>
      <c r="T71" s="17">
        <v>30000294</v>
      </c>
      <c r="U71" s="17" t="s">
        <v>80</v>
      </c>
      <c r="V71" s="17" t="s">
        <v>81</v>
      </c>
      <c r="W71" s="17" t="s">
        <v>82</v>
      </c>
      <c r="X71" s="22" t="s">
        <v>487</v>
      </c>
      <c r="Y71" s="23">
        <v>46011</v>
      </c>
      <c r="Z71" s="101" t="s">
        <v>488</v>
      </c>
      <c r="AA71" s="22">
        <v>2021</v>
      </c>
      <c r="AB71" s="22">
        <v>2025</v>
      </c>
      <c r="AC71" s="22" t="s">
        <v>0</v>
      </c>
      <c r="AD71" s="22" t="s">
        <v>0</v>
      </c>
      <c r="AE71" s="17" t="s">
        <v>0</v>
      </c>
      <c r="AF71" s="17" t="s">
        <v>0</v>
      </c>
      <c r="AG71" s="17" t="s">
        <v>0</v>
      </c>
      <c r="AH71" s="17" t="s">
        <v>0</v>
      </c>
      <c r="AI71" s="17" t="s">
        <v>0</v>
      </c>
      <c r="AJ71" s="22">
        <v>0.5</v>
      </c>
      <c r="AK71" s="22">
        <v>0</v>
      </c>
      <c r="AL71" s="22">
        <v>0</v>
      </c>
      <c r="AM71" s="17">
        <v>0</v>
      </c>
      <c r="AN71" s="17"/>
      <c r="AO71" s="17" t="s">
        <v>0</v>
      </c>
      <c r="AP71" s="17" t="s">
        <v>0</v>
      </c>
      <c r="AQ71" s="18" t="s">
        <v>1270</v>
      </c>
      <c r="AR71" s="191" t="s">
        <v>1270</v>
      </c>
      <c r="AS71" s="17" t="s">
        <v>0</v>
      </c>
      <c r="AT71" s="17" t="s">
        <v>0</v>
      </c>
      <c r="AU71" s="17" t="s">
        <v>0</v>
      </c>
      <c r="AV71" s="17" t="s">
        <v>0</v>
      </c>
      <c r="AW71" s="39" t="s">
        <v>0</v>
      </c>
      <c r="AX71" s="17">
        <v>0</v>
      </c>
      <c r="AY71" s="17" t="s">
        <v>0</v>
      </c>
      <c r="AZ71" s="17" t="s">
        <v>0</v>
      </c>
      <c r="BA71" s="17">
        <v>1</v>
      </c>
      <c r="BB71" s="102" t="s">
        <v>0</v>
      </c>
      <c r="BC71" s="17" t="s">
        <v>0</v>
      </c>
      <c r="BD71" s="17" t="s">
        <v>0</v>
      </c>
      <c r="BE71" s="17" t="s">
        <v>0</v>
      </c>
      <c r="BF71" s="17" t="s">
        <v>0</v>
      </c>
    </row>
    <row r="72" spans="1:58" ht="17.850000000000001" customHeight="1">
      <c r="A72" s="27" t="s">
        <v>217</v>
      </c>
      <c r="B72" s="27">
        <v>30080309</v>
      </c>
      <c r="C72" s="27" t="s">
        <v>424</v>
      </c>
      <c r="D72" s="27" t="s">
        <v>425</v>
      </c>
      <c r="E72" s="27" t="s">
        <v>426</v>
      </c>
      <c r="F72" s="72" t="s">
        <v>80</v>
      </c>
      <c r="G72" s="72" t="s">
        <v>59</v>
      </c>
      <c r="H72" s="18" t="s">
        <v>258</v>
      </c>
      <c r="I72" s="72" t="s">
        <v>61</v>
      </c>
      <c r="J72" s="18" t="s">
        <v>101</v>
      </c>
      <c r="K72" s="72" t="s">
        <v>63</v>
      </c>
      <c r="L72" s="18" t="s">
        <v>78</v>
      </c>
      <c r="M72" s="18" t="s">
        <v>427</v>
      </c>
      <c r="N72" s="18" t="s">
        <v>428</v>
      </c>
      <c r="O72" s="92">
        <v>1012</v>
      </c>
      <c r="P72" s="18" t="s">
        <v>104</v>
      </c>
      <c r="Q72" s="93">
        <v>29871</v>
      </c>
      <c r="R72" s="18">
        <f ca="1">DATEDIF(Q72, TODAY(), "Y")</f>
        <v>44</v>
      </c>
      <c r="S72" s="20">
        <f>EOMONTH(Q72, 65*12)</f>
        <v>53631</v>
      </c>
      <c r="T72" s="18">
        <v>30007939</v>
      </c>
      <c r="U72" s="18" t="s">
        <v>74</v>
      </c>
      <c r="V72" s="18" t="s">
        <v>223</v>
      </c>
      <c r="W72" s="18" t="s">
        <v>224</v>
      </c>
      <c r="X72" s="18" t="s">
        <v>68</v>
      </c>
      <c r="Y72" s="18"/>
      <c r="Z72" s="18"/>
      <c r="AA72" s="18"/>
      <c r="AB72" s="18"/>
      <c r="AC72" s="18"/>
      <c r="AD72" s="18"/>
      <c r="AE72" s="18"/>
      <c r="AF72" s="18"/>
      <c r="AG72" s="18"/>
      <c r="AH72" s="18"/>
      <c r="AI72" s="18"/>
      <c r="AJ72" s="27"/>
      <c r="AK72" s="27"/>
      <c r="AL72" s="27"/>
      <c r="AM72" s="27">
        <v>0</v>
      </c>
      <c r="AN72" s="17"/>
      <c r="AO72" s="27"/>
      <c r="AP72" s="27"/>
      <c r="AQ72" s="27"/>
      <c r="AR72" s="18" t="s">
        <v>1270</v>
      </c>
      <c r="AS72" s="27"/>
      <c r="AT72" s="27"/>
      <c r="AU72" s="27"/>
      <c r="AV72" s="27"/>
      <c r="AW72" s="27"/>
      <c r="AX72" s="27">
        <v>0</v>
      </c>
      <c r="AY72" s="27"/>
      <c r="AZ72" s="27"/>
      <c r="BA72" s="27">
        <v>0</v>
      </c>
      <c r="BB72" s="27"/>
      <c r="BC72" s="27"/>
      <c r="BD72" s="27"/>
      <c r="BE72" s="27"/>
      <c r="BF72" s="27"/>
    </row>
    <row r="73" spans="1:58" s="68" customFormat="1" ht="17.850000000000001" customHeight="1">
      <c r="A73" s="43" t="s">
        <v>95</v>
      </c>
      <c r="B73" s="43">
        <v>30080309</v>
      </c>
      <c r="C73" s="17" t="s">
        <v>429</v>
      </c>
      <c r="D73" s="43" t="s">
        <v>425</v>
      </c>
      <c r="E73" s="43" t="s">
        <v>426</v>
      </c>
      <c r="F73" s="94" t="s">
        <v>80</v>
      </c>
      <c r="G73" s="94" t="s">
        <v>59</v>
      </c>
      <c r="H73" s="39" t="s">
        <v>430</v>
      </c>
      <c r="I73" s="94" t="s">
        <v>61</v>
      </c>
      <c r="J73" s="39" t="s">
        <v>101</v>
      </c>
      <c r="K73" s="94" t="s">
        <v>63</v>
      </c>
      <c r="L73" s="39" t="s">
        <v>78</v>
      </c>
      <c r="M73" s="39" t="s">
        <v>430</v>
      </c>
      <c r="N73" s="39" t="s">
        <v>428</v>
      </c>
      <c r="O73" s="39">
        <v>1012</v>
      </c>
      <c r="P73" s="39" t="s">
        <v>104</v>
      </c>
      <c r="Q73" s="85">
        <f>'[1]FEBE Academics 2024'!R72</f>
        <v>29871</v>
      </c>
      <c r="R73" s="86">
        <f ca="1">YEARFRAC(Q73,TODAY())</f>
        <v>44.81388888888889</v>
      </c>
      <c r="S73" s="85">
        <f>EDATE(Q73,12*65)</f>
        <v>53612</v>
      </c>
      <c r="T73" s="39">
        <v>30007939</v>
      </c>
      <c r="U73" s="39" t="s">
        <v>74</v>
      </c>
      <c r="V73" s="39" t="s">
        <v>223</v>
      </c>
      <c r="W73" s="39" t="s">
        <v>224</v>
      </c>
      <c r="X73" s="43" t="s">
        <v>68</v>
      </c>
      <c r="Y73" s="87">
        <v>45945</v>
      </c>
      <c r="Z73" s="43" t="s">
        <v>0</v>
      </c>
      <c r="AA73" s="43" t="s">
        <v>0</v>
      </c>
      <c r="AB73" s="43" t="s">
        <v>0</v>
      </c>
      <c r="AC73" s="43" t="s">
        <v>0</v>
      </c>
      <c r="AD73" s="43" t="s">
        <v>0</v>
      </c>
      <c r="AE73" s="39" t="s">
        <v>0</v>
      </c>
      <c r="AF73" s="39" t="s">
        <v>0</v>
      </c>
      <c r="AG73" s="39" t="s">
        <v>0</v>
      </c>
      <c r="AH73" s="39" t="s">
        <v>0</v>
      </c>
      <c r="AI73" s="39" t="s">
        <v>0</v>
      </c>
      <c r="AJ73" s="22">
        <v>0.5</v>
      </c>
      <c r="AK73" s="43" t="s">
        <v>0</v>
      </c>
      <c r="AL73" s="43" t="s">
        <v>0</v>
      </c>
      <c r="AM73" s="32">
        <v>0</v>
      </c>
      <c r="AN73" s="22"/>
      <c r="AO73" s="39" t="s">
        <v>0</v>
      </c>
      <c r="AP73" s="39" t="s">
        <v>0</v>
      </c>
      <c r="AQ73" s="18" t="s">
        <v>1270</v>
      </c>
      <c r="AR73" s="18" t="s">
        <v>1270</v>
      </c>
      <c r="AS73" s="39" t="s">
        <v>0</v>
      </c>
      <c r="AT73" s="39" t="s">
        <v>0</v>
      </c>
      <c r="AU73" s="39" t="s">
        <v>0</v>
      </c>
      <c r="AV73" s="39" t="s">
        <v>0</v>
      </c>
      <c r="AW73" s="39" t="s">
        <v>0</v>
      </c>
      <c r="AX73" s="17">
        <v>0</v>
      </c>
      <c r="AY73" s="17" t="s">
        <v>0</v>
      </c>
      <c r="AZ73" s="17" t="s">
        <v>0</v>
      </c>
      <c r="BA73" s="17">
        <v>0</v>
      </c>
      <c r="BB73" s="39" t="s">
        <v>94</v>
      </c>
      <c r="BC73" s="39" t="s">
        <v>0</v>
      </c>
      <c r="BD73" s="39" t="s">
        <v>0</v>
      </c>
      <c r="BE73" s="39" t="s">
        <v>0</v>
      </c>
      <c r="BF73" s="39" t="s">
        <v>0</v>
      </c>
    </row>
    <row r="74" spans="1:58" s="68" customFormat="1" ht="17.850000000000001" customHeight="1">
      <c r="A74" s="17" t="s">
        <v>125</v>
      </c>
      <c r="B74" s="17">
        <v>30096819</v>
      </c>
      <c r="C74" s="65" t="s">
        <v>1203</v>
      </c>
      <c r="D74" s="17" t="s">
        <v>1204</v>
      </c>
      <c r="E74" s="17" t="s">
        <v>1205</v>
      </c>
      <c r="F74" s="19" t="s">
        <v>1206</v>
      </c>
      <c r="G74" s="19" t="s">
        <v>59</v>
      </c>
      <c r="H74" s="17" t="s">
        <v>60</v>
      </c>
      <c r="I74" s="19" t="s">
        <v>61</v>
      </c>
      <c r="J74" s="17" t="s">
        <v>101</v>
      </c>
      <c r="K74" s="19" t="s">
        <v>63</v>
      </c>
      <c r="L74" s="17" t="s">
        <v>78</v>
      </c>
      <c r="M74" s="17" t="s">
        <v>112</v>
      </c>
      <c r="N74" s="17" t="s">
        <v>65</v>
      </c>
      <c r="O74" s="17" t="s">
        <v>0</v>
      </c>
      <c r="P74" s="17" t="s">
        <v>0</v>
      </c>
      <c r="Q74" s="20">
        <f>'[1]FEBE Academics 2024'!R73</f>
        <v>34442</v>
      </c>
      <c r="R74" s="21">
        <f ca="1">YEARFRAC(Q74,TODAY())</f>
        <v>32.297222222222224</v>
      </c>
      <c r="S74" s="20">
        <f>EDATE(Q74,12*65)</f>
        <v>58183</v>
      </c>
      <c r="T74" s="17">
        <v>30101611</v>
      </c>
      <c r="U74" s="17" t="s">
        <v>105</v>
      </c>
      <c r="V74" s="17" t="s">
        <v>76</v>
      </c>
      <c r="W74" s="17" t="s">
        <v>131</v>
      </c>
      <c r="X74" s="22" t="s">
        <v>745</v>
      </c>
      <c r="Y74" s="23">
        <v>45736</v>
      </c>
      <c r="Z74" s="52" t="s">
        <v>1207</v>
      </c>
      <c r="AA74" s="34">
        <v>2021</v>
      </c>
      <c r="AB74" s="34">
        <v>2026</v>
      </c>
      <c r="AC74" s="34" t="s">
        <v>85</v>
      </c>
      <c r="AD74" s="34" t="s">
        <v>1208</v>
      </c>
      <c r="AE74" s="17" t="s">
        <v>0</v>
      </c>
      <c r="AF74" s="17" t="s">
        <v>0</v>
      </c>
      <c r="AG74" s="17" t="s">
        <v>0</v>
      </c>
      <c r="AH74" s="17" t="s">
        <v>0</v>
      </c>
      <c r="AI74" s="17" t="s">
        <v>0</v>
      </c>
      <c r="AJ74" s="22">
        <v>0.5</v>
      </c>
      <c r="AK74" s="22">
        <v>0</v>
      </c>
      <c r="AL74" s="22">
        <v>0</v>
      </c>
      <c r="AM74" s="25">
        <v>0</v>
      </c>
      <c r="AN74" s="25"/>
      <c r="AO74" s="17" t="s">
        <v>0</v>
      </c>
      <c r="AP74" s="17" t="s">
        <v>0</v>
      </c>
      <c r="AQ74" s="62"/>
      <c r="AR74" s="18" t="s">
        <v>1270</v>
      </c>
      <c r="AS74" s="17" t="s">
        <v>0</v>
      </c>
      <c r="AT74" s="17" t="s">
        <v>0</v>
      </c>
      <c r="AU74" s="17" t="s">
        <v>0</v>
      </c>
      <c r="AV74" s="17" t="s">
        <v>0</v>
      </c>
      <c r="AW74" s="18">
        <v>0</v>
      </c>
      <c r="AX74" s="17">
        <v>0</v>
      </c>
      <c r="AY74" s="17" t="s">
        <v>0</v>
      </c>
      <c r="AZ74" s="17">
        <v>1</v>
      </c>
      <c r="BA74" s="17">
        <v>0</v>
      </c>
      <c r="BB74" s="17" t="s">
        <v>94</v>
      </c>
      <c r="BC74" s="17" t="s">
        <v>0</v>
      </c>
      <c r="BD74" s="17" t="s">
        <v>0</v>
      </c>
      <c r="BE74" s="18" t="s">
        <v>0</v>
      </c>
      <c r="BF74" s="18" t="s">
        <v>0</v>
      </c>
    </row>
    <row r="75" spans="1:58" ht="17.850000000000001" customHeight="1">
      <c r="A75" s="17" t="s">
        <v>54</v>
      </c>
      <c r="B75" s="17">
        <v>30108702</v>
      </c>
      <c r="C75" s="17" t="s">
        <v>582</v>
      </c>
      <c r="D75" s="17" t="s">
        <v>583</v>
      </c>
      <c r="E75" s="17" t="s">
        <v>584</v>
      </c>
      <c r="F75" s="19" t="s">
        <v>577</v>
      </c>
      <c r="G75" s="19" t="s">
        <v>74</v>
      </c>
      <c r="H75" s="17" t="s">
        <v>258</v>
      </c>
      <c r="I75" s="19" t="s">
        <v>76</v>
      </c>
      <c r="J75" s="17" t="s">
        <v>77</v>
      </c>
      <c r="K75" s="19" t="s">
        <v>120</v>
      </c>
      <c r="L75" s="17" t="s">
        <v>78</v>
      </c>
      <c r="M75" s="17" t="s">
        <v>258</v>
      </c>
      <c r="N75" s="17" t="s">
        <v>65</v>
      </c>
      <c r="O75" s="17" t="s">
        <v>0</v>
      </c>
      <c r="P75" s="17" t="s">
        <v>0</v>
      </c>
      <c r="Q75" s="37">
        <f>'[1]FEBE Academics 2024'!R74</f>
        <v>36124</v>
      </c>
      <c r="R75" s="38">
        <f ca="1">YEARFRAC(Q75,TODAY())</f>
        <v>27.694444444444443</v>
      </c>
      <c r="S75" s="37">
        <f>EDATE(Q75,12*65)</f>
        <v>59865</v>
      </c>
      <c r="T75" s="17" t="s">
        <v>0</v>
      </c>
      <c r="U75" s="17" t="s">
        <v>59</v>
      </c>
      <c r="V75" s="17" t="s">
        <v>66</v>
      </c>
      <c r="W75" s="17" t="s">
        <v>67</v>
      </c>
      <c r="X75" s="110" t="s">
        <v>585</v>
      </c>
      <c r="Y75" s="23">
        <v>45679</v>
      </c>
      <c r="Z75" s="101" t="s">
        <v>586</v>
      </c>
      <c r="AA75" s="101">
        <v>2024</v>
      </c>
      <c r="AB75" s="22">
        <v>2025</v>
      </c>
      <c r="AC75" s="22" t="s">
        <v>85</v>
      </c>
      <c r="AD75" s="22" t="s">
        <v>0</v>
      </c>
      <c r="AE75" s="17" t="s">
        <v>0</v>
      </c>
      <c r="AF75" s="17" t="s">
        <v>0</v>
      </c>
      <c r="AG75" s="17" t="s">
        <v>0</v>
      </c>
      <c r="AH75" s="17" t="s">
        <v>0</v>
      </c>
      <c r="AI75" s="17" t="s">
        <v>0</v>
      </c>
      <c r="AJ75" s="22">
        <v>0.25</v>
      </c>
      <c r="AK75" s="22">
        <v>0</v>
      </c>
      <c r="AL75" s="22">
        <v>0</v>
      </c>
      <c r="AM75" s="25">
        <v>0</v>
      </c>
      <c r="AN75" s="61">
        <v>0.2</v>
      </c>
      <c r="AO75" s="17" t="s">
        <v>0</v>
      </c>
      <c r="AP75" s="17" t="s">
        <v>0</v>
      </c>
      <c r="AQ75" s="18" t="s">
        <v>1270</v>
      </c>
      <c r="AR75" s="192" t="s">
        <v>1270</v>
      </c>
      <c r="AS75" s="17" t="s">
        <v>0</v>
      </c>
      <c r="AT75" s="17" t="s">
        <v>0</v>
      </c>
      <c r="AU75" s="17" t="s">
        <v>0</v>
      </c>
      <c r="AV75" s="17" t="s">
        <v>0</v>
      </c>
      <c r="AW75" s="39" t="s">
        <v>0</v>
      </c>
      <c r="AX75" s="17">
        <v>0</v>
      </c>
      <c r="AY75" s="17" t="s">
        <v>0</v>
      </c>
      <c r="AZ75" s="17" t="s">
        <v>0</v>
      </c>
      <c r="BA75" s="17">
        <v>0</v>
      </c>
      <c r="BB75" s="17" t="s">
        <v>94</v>
      </c>
      <c r="BC75" s="17" t="s">
        <v>0</v>
      </c>
      <c r="BD75" s="17" t="s">
        <v>0</v>
      </c>
      <c r="BE75" s="17" t="s">
        <v>0</v>
      </c>
      <c r="BF75" s="17" t="s">
        <v>0</v>
      </c>
    </row>
    <row r="76" spans="1:58" s="68" customFormat="1" ht="17.850000000000001" customHeight="1">
      <c r="A76" s="17" t="s">
        <v>135</v>
      </c>
      <c r="B76" s="17">
        <v>30087963</v>
      </c>
      <c r="C76" s="17" t="s">
        <v>650</v>
      </c>
      <c r="D76" s="17" t="s">
        <v>651</v>
      </c>
      <c r="E76" s="17" t="s">
        <v>652</v>
      </c>
      <c r="F76" s="19" t="s">
        <v>106</v>
      </c>
      <c r="G76" s="19" t="s">
        <v>190</v>
      </c>
      <c r="H76" s="17" t="s">
        <v>60</v>
      </c>
      <c r="I76" s="19" t="s">
        <v>61</v>
      </c>
      <c r="J76" s="17" t="s">
        <v>101</v>
      </c>
      <c r="K76" s="19" t="s">
        <v>120</v>
      </c>
      <c r="L76" s="17" t="s">
        <v>78</v>
      </c>
      <c r="M76" s="17" t="s">
        <v>60</v>
      </c>
      <c r="N76" s="17" t="s">
        <v>65</v>
      </c>
      <c r="O76" s="17" t="s">
        <v>0</v>
      </c>
      <c r="P76" s="17" t="s">
        <v>0</v>
      </c>
      <c r="Q76" s="37">
        <f>'[1]FEBE Academics 2024'!R76</f>
        <v>21397</v>
      </c>
      <c r="R76" s="38">
        <f ca="1">YEARFRAC(Q76,TODAY())</f>
        <v>68.013888888888886</v>
      </c>
      <c r="S76" s="37">
        <f>EDATE(Q76,12*65)</f>
        <v>45138</v>
      </c>
      <c r="T76" s="17">
        <v>30015698</v>
      </c>
      <c r="U76" s="17" t="s">
        <v>190</v>
      </c>
      <c r="V76" s="17" t="s">
        <v>191</v>
      </c>
      <c r="W76" s="17" t="s">
        <v>192</v>
      </c>
      <c r="X76" s="22" t="s">
        <v>653</v>
      </c>
      <c r="Y76" s="23">
        <v>35490</v>
      </c>
      <c r="Z76" s="22" t="s">
        <v>0</v>
      </c>
      <c r="AA76" s="22" t="s">
        <v>0</v>
      </c>
      <c r="AB76" s="22" t="s">
        <v>0</v>
      </c>
      <c r="AC76" s="22" t="s">
        <v>0</v>
      </c>
      <c r="AD76" s="22" t="s">
        <v>0</v>
      </c>
      <c r="AE76" s="17" t="s">
        <v>0</v>
      </c>
      <c r="AF76" s="17" t="s">
        <v>0</v>
      </c>
      <c r="AG76" s="17" t="s">
        <v>0</v>
      </c>
      <c r="AH76" s="17" t="s">
        <v>0</v>
      </c>
      <c r="AI76" s="17" t="s">
        <v>0</v>
      </c>
      <c r="AJ76" s="22">
        <v>0.5</v>
      </c>
      <c r="AK76" s="22">
        <v>0</v>
      </c>
      <c r="AL76" s="22">
        <v>0</v>
      </c>
      <c r="AM76" s="22">
        <v>0</v>
      </c>
      <c r="AN76" s="22"/>
      <c r="AO76" s="17" t="s">
        <v>0</v>
      </c>
      <c r="AP76" s="17" t="s">
        <v>0</v>
      </c>
      <c r="AQ76" s="18" t="s">
        <v>1270</v>
      </c>
      <c r="AR76" s="18" t="s">
        <v>1270</v>
      </c>
      <c r="AS76" s="17" t="s">
        <v>0</v>
      </c>
      <c r="AT76" s="17" t="s">
        <v>0</v>
      </c>
      <c r="AU76" s="17" t="s">
        <v>0</v>
      </c>
      <c r="AV76" s="17" t="s">
        <v>0</v>
      </c>
      <c r="AW76" s="39" t="s">
        <v>0</v>
      </c>
      <c r="AX76" s="17">
        <v>0</v>
      </c>
      <c r="AY76" s="17" t="s">
        <v>0</v>
      </c>
      <c r="AZ76" s="17" t="s">
        <v>0</v>
      </c>
      <c r="BA76" s="17">
        <v>0</v>
      </c>
      <c r="BB76" s="17" t="s">
        <v>94</v>
      </c>
      <c r="BC76" s="17" t="s">
        <v>0</v>
      </c>
      <c r="BD76" s="17" t="s">
        <v>0</v>
      </c>
      <c r="BE76" s="17" t="s">
        <v>0</v>
      </c>
      <c r="BF76" s="17" t="s">
        <v>0</v>
      </c>
    </row>
    <row r="77" spans="1:58" ht="17.850000000000001" customHeight="1">
      <c r="A77" s="17" t="s">
        <v>260</v>
      </c>
      <c r="B77" s="17">
        <v>30013045</v>
      </c>
      <c r="C77" s="17" t="s">
        <v>419</v>
      </c>
      <c r="D77" s="17" t="s">
        <v>420</v>
      </c>
      <c r="E77" s="17" t="s">
        <v>421</v>
      </c>
      <c r="F77" s="19" t="s">
        <v>422</v>
      </c>
      <c r="G77" s="19" t="s">
        <v>80</v>
      </c>
      <c r="H77" s="17" t="s">
        <v>60</v>
      </c>
      <c r="I77" s="19" t="s">
        <v>61</v>
      </c>
      <c r="J77" s="17" t="s">
        <v>101</v>
      </c>
      <c r="K77" s="19" t="s">
        <v>63</v>
      </c>
      <c r="L77" s="17" t="s">
        <v>78</v>
      </c>
      <c r="M77" s="17" t="s">
        <v>60</v>
      </c>
      <c r="N77" s="17" t="s">
        <v>65</v>
      </c>
      <c r="O77" s="17">
        <v>1012</v>
      </c>
      <c r="P77" s="17" t="s">
        <v>104</v>
      </c>
      <c r="Q77" s="20">
        <f>'[1]FEBE Academics 2024'!R77</f>
        <v>28811</v>
      </c>
      <c r="R77" s="21">
        <f ca="1">YEARFRAC(Q77,TODAY())</f>
        <v>47.716666666666669</v>
      </c>
      <c r="S77" s="20">
        <f>EDATE(Q77,12*65)</f>
        <v>52552</v>
      </c>
      <c r="T77" s="17">
        <v>30010866</v>
      </c>
      <c r="U77" s="17" t="s">
        <v>265</v>
      </c>
      <c r="V77" s="17" t="s">
        <v>266</v>
      </c>
      <c r="W77" s="17" t="s">
        <v>267</v>
      </c>
      <c r="X77" s="22" t="s">
        <v>369</v>
      </c>
      <c r="Y77" s="23">
        <v>45920</v>
      </c>
      <c r="Z77" s="34" t="s">
        <v>0</v>
      </c>
      <c r="AA77" s="34" t="s">
        <v>0</v>
      </c>
      <c r="AB77" s="34" t="s">
        <v>0</v>
      </c>
      <c r="AC77" s="34" t="s">
        <v>0</v>
      </c>
      <c r="AD77" s="34" t="s">
        <v>0</v>
      </c>
      <c r="AE77" s="18" t="s">
        <v>0</v>
      </c>
      <c r="AF77" s="18" t="s">
        <v>0</v>
      </c>
      <c r="AG77" s="18" t="s">
        <v>0</v>
      </c>
      <c r="AH77" s="17" t="s">
        <v>0</v>
      </c>
      <c r="AI77" s="17" t="s">
        <v>0</v>
      </c>
      <c r="AJ77" s="22">
        <v>0.5</v>
      </c>
      <c r="AK77" s="36">
        <v>0.33</v>
      </c>
      <c r="AL77" s="22">
        <v>0</v>
      </c>
      <c r="AM77" s="22">
        <v>0</v>
      </c>
      <c r="AN77" s="22"/>
      <c r="AO77" s="17" t="s">
        <v>0</v>
      </c>
      <c r="AP77" s="17" t="s">
        <v>0</v>
      </c>
      <c r="AQ77" s="18" t="s">
        <v>1270</v>
      </c>
      <c r="AR77" s="190" t="s">
        <v>1270</v>
      </c>
      <c r="AS77" s="18" t="s">
        <v>0</v>
      </c>
      <c r="AT77" s="18" t="s">
        <v>0</v>
      </c>
      <c r="AU77" s="18" t="s">
        <v>0</v>
      </c>
      <c r="AV77" s="18" t="s">
        <v>0</v>
      </c>
      <c r="AW77" s="18" t="s">
        <v>0</v>
      </c>
      <c r="AX77" s="17">
        <v>0</v>
      </c>
      <c r="AY77" s="17" t="s">
        <v>0</v>
      </c>
      <c r="AZ77" s="17" t="s">
        <v>0</v>
      </c>
      <c r="BA77" s="17">
        <v>0</v>
      </c>
      <c r="BB77" s="40" t="s">
        <v>423</v>
      </c>
      <c r="BC77" s="18" t="s">
        <v>0</v>
      </c>
      <c r="BD77" s="18" t="s">
        <v>0</v>
      </c>
      <c r="BE77" s="18">
        <v>2</v>
      </c>
      <c r="BF77" s="18" t="s">
        <v>0</v>
      </c>
    </row>
    <row r="78" spans="1:58" ht="17.850000000000001" customHeight="1">
      <c r="A78" s="17" t="s">
        <v>95</v>
      </c>
      <c r="B78" s="17">
        <v>30095339</v>
      </c>
      <c r="C78" s="17" t="s">
        <v>324</v>
      </c>
      <c r="D78" s="17" t="s">
        <v>325</v>
      </c>
      <c r="E78" s="17" t="s">
        <v>326</v>
      </c>
      <c r="F78" s="19" t="s">
        <v>327</v>
      </c>
      <c r="G78" s="19" t="s">
        <v>59</v>
      </c>
      <c r="H78" s="17" t="s">
        <v>60</v>
      </c>
      <c r="I78" s="19" t="s">
        <v>61</v>
      </c>
      <c r="J78" s="17" t="s">
        <v>62</v>
      </c>
      <c r="K78" s="19" t="s">
        <v>63</v>
      </c>
      <c r="L78" s="17" t="s">
        <v>78</v>
      </c>
      <c r="M78" s="17" t="s">
        <v>60</v>
      </c>
      <c r="N78" s="17" t="s">
        <v>65</v>
      </c>
      <c r="O78" s="17">
        <v>594</v>
      </c>
      <c r="P78" s="17" t="s">
        <v>170</v>
      </c>
      <c r="Q78" s="20">
        <f>'[1]FEBE Academics 2024'!R78</f>
        <v>33192</v>
      </c>
      <c r="R78" s="21">
        <f ca="1">YEARFRAC(Q78,TODAY())</f>
        <v>35.722222222222221</v>
      </c>
      <c r="S78" s="20">
        <f>EDATE(Q78,12*65)</f>
        <v>56933</v>
      </c>
      <c r="T78" s="17">
        <v>30110521</v>
      </c>
      <c r="U78" s="17" t="s">
        <v>105</v>
      </c>
      <c r="V78" s="17" t="s">
        <v>106</v>
      </c>
      <c r="W78" s="17" t="s">
        <v>107</v>
      </c>
      <c r="X78" s="22" t="s">
        <v>328</v>
      </c>
      <c r="Y78" s="23">
        <v>46007</v>
      </c>
      <c r="Z78" s="22" t="s">
        <v>0</v>
      </c>
      <c r="AA78" s="22" t="s">
        <v>0</v>
      </c>
      <c r="AB78" s="22" t="s">
        <v>0</v>
      </c>
      <c r="AC78" s="22" t="s">
        <v>0</v>
      </c>
      <c r="AD78" s="22" t="s">
        <v>0</v>
      </c>
      <c r="AE78" s="17" t="s">
        <v>0</v>
      </c>
      <c r="AF78" s="17" t="s">
        <v>0</v>
      </c>
      <c r="AG78" s="17" t="s">
        <v>0</v>
      </c>
      <c r="AH78" s="17" t="s">
        <v>0</v>
      </c>
      <c r="AI78" s="17" t="s">
        <v>0</v>
      </c>
      <c r="AJ78" s="22">
        <v>0.5</v>
      </c>
      <c r="AK78" s="22">
        <v>0</v>
      </c>
      <c r="AL78" s="22">
        <v>0</v>
      </c>
      <c r="AM78" s="32">
        <v>0</v>
      </c>
      <c r="AN78" s="22"/>
      <c r="AO78" s="17" t="s">
        <v>0</v>
      </c>
      <c r="AP78" s="17" t="s">
        <v>0</v>
      </c>
      <c r="AQ78" s="18" t="s">
        <v>1270</v>
      </c>
      <c r="AR78" s="18"/>
      <c r="AS78" s="17" t="s">
        <v>0</v>
      </c>
      <c r="AT78" s="17" t="s">
        <v>0</v>
      </c>
      <c r="AU78" s="17" t="s">
        <v>0</v>
      </c>
      <c r="AV78" s="17" t="s">
        <v>0</v>
      </c>
      <c r="AW78" s="18" t="s">
        <v>0</v>
      </c>
      <c r="AX78" s="17">
        <v>0</v>
      </c>
      <c r="AY78" s="17" t="s">
        <v>0</v>
      </c>
      <c r="AZ78" s="17" t="s">
        <v>0</v>
      </c>
      <c r="BA78" s="17">
        <v>0</v>
      </c>
      <c r="BB78" s="17" t="s">
        <v>94</v>
      </c>
      <c r="BC78" s="17" t="s">
        <v>0</v>
      </c>
      <c r="BD78" s="17" t="s">
        <v>0</v>
      </c>
      <c r="BE78" s="18" t="s">
        <v>0</v>
      </c>
      <c r="BF78" s="18" t="s">
        <v>0</v>
      </c>
    </row>
    <row r="79" spans="1:58" ht="17.850000000000001" customHeight="1">
      <c r="A79" s="17" t="s">
        <v>125</v>
      </c>
      <c r="B79" s="17">
        <v>30006884</v>
      </c>
      <c r="C79" s="17" t="s">
        <v>592</v>
      </c>
      <c r="D79" s="17" t="s">
        <v>593</v>
      </c>
      <c r="E79" s="17" t="s">
        <v>594</v>
      </c>
      <c r="F79" s="19" t="s">
        <v>595</v>
      </c>
      <c r="G79" s="19" t="s">
        <v>80</v>
      </c>
      <c r="H79" s="17" t="s">
        <v>60</v>
      </c>
      <c r="I79" s="19" t="s">
        <v>76</v>
      </c>
      <c r="J79" s="17" t="s">
        <v>197</v>
      </c>
      <c r="K79" s="19" t="s">
        <v>63</v>
      </c>
      <c r="L79" s="17" t="s">
        <v>78</v>
      </c>
      <c r="M79" s="17" t="s">
        <v>60</v>
      </c>
      <c r="N79" s="17" t="s">
        <v>65</v>
      </c>
      <c r="O79" s="17">
        <v>531</v>
      </c>
      <c r="P79" s="17" t="s">
        <v>213</v>
      </c>
      <c r="Q79" s="20">
        <f>'[1]FEBE Academics 2024'!R79</f>
        <v>27850</v>
      </c>
      <c r="R79" s="21">
        <f ca="1">YEARFRAC(Q79,TODAY())</f>
        <v>50.347222222222221</v>
      </c>
      <c r="S79" s="20">
        <f>EDATE(Q79,12*65)</f>
        <v>51591</v>
      </c>
      <c r="T79" s="17">
        <v>30101611</v>
      </c>
      <c r="U79" s="17" t="s">
        <v>105</v>
      </c>
      <c r="V79" s="17" t="s">
        <v>76</v>
      </c>
      <c r="W79" s="17" t="s">
        <v>131</v>
      </c>
      <c r="X79" s="22" t="s">
        <v>596</v>
      </c>
      <c r="Y79" s="23">
        <v>45739</v>
      </c>
      <c r="Z79" s="62" t="s">
        <v>133</v>
      </c>
      <c r="AA79" s="62" t="s">
        <v>133</v>
      </c>
      <c r="AB79" s="62" t="s">
        <v>133</v>
      </c>
      <c r="AC79" s="62" t="s">
        <v>133</v>
      </c>
      <c r="AD79" s="62" t="s">
        <v>133</v>
      </c>
      <c r="AE79" s="62" t="s">
        <v>133</v>
      </c>
      <c r="AF79" s="18" t="s">
        <v>0</v>
      </c>
      <c r="AG79" s="18" t="s">
        <v>0</v>
      </c>
      <c r="AH79" s="17" t="s">
        <v>0</v>
      </c>
      <c r="AI79" s="17" t="s">
        <v>0</v>
      </c>
      <c r="AJ79" s="22">
        <v>0.5</v>
      </c>
      <c r="AK79" s="36">
        <v>0.53</v>
      </c>
      <c r="AL79" s="22">
        <v>0</v>
      </c>
      <c r="AM79" s="25">
        <v>0</v>
      </c>
      <c r="AN79" s="25"/>
      <c r="AO79" s="17" t="s">
        <v>0</v>
      </c>
      <c r="AP79" s="17" t="s">
        <v>0</v>
      </c>
      <c r="AQ79" s="18" t="s">
        <v>1270</v>
      </c>
      <c r="AR79" s="18"/>
      <c r="AS79" s="18" t="s">
        <v>0</v>
      </c>
      <c r="AT79" s="18" t="s">
        <v>0</v>
      </c>
      <c r="AU79" s="18" t="s">
        <v>0</v>
      </c>
      <c r="AV79" s="18">
        <v>39</v>
      </c>
      <c r="AW79" s="18">
        <v>10</v>
      </c>
      <c r="AX79" s="17">
        <v>0</v>
      </c>
      <c r="AY79" s="17">
        <v>3</v>
      </c>
      <c r="AZ79" s="17">
        <v>4</v>
      </c>
      <c r="BA79" s="17">
        <v>0</v>
      </c>
      <c r="BB79" s="18" t="s">
        <v>597</v>
      </c>
      <c r="BC79" s="18" t="s">
        <v>0</v>
      </c>
      <c r="BD79" s="18" t="s">
        <v>0</v>
      </c>
      <c r="BE79" s="18" t="s">
        <v>0</v>
      </c>
      <c r="BF79" s="18" t="s">
        <v>0</v>
      </c>
    </row>
    <row r="80" spans="1:58" ht="17.850000000000001" customHeight="1">
      <c r="A80" s="17" t="s">
        <v>69</v>
      </c>
      <c r="B80" s="17">
        <v>30084321</v>
      </c>
      <c r="C80" s="17" t="s">
        <v>654</v>
      </c>
      <c r="D80" s="17" t="s">
        <v>655</v>
      </c>
      <c r="E80" s="17" t="s">
        <v>656</v>
      </c>
      <c r="F80" s="19" t="s">
        <v>657</v>
      </c>
      <c r="G80" s="19" t="s">
        <v>74</v>
      </c>
      <c r="H80" s="17" t="s">
        <v>60</v>
      </c>
      <c r="I80" s="19" t="s">
        <v>76</v>
      </c>
      <c r="J80" s="17" t="s">
        <v>101</v>
      </c>
      <c r="K80" s="19" t="s">
        <v>63</v>
      </c>
      <c r="L80" s="17" t="s">
        <v>64</v>
      </c>
      <c r="M80" s="17" t="s">
        <v>60</v>
      </c>
      <c r="N80" s="17" t="s">
        <v>65</v>
      </c>
      <c r="O80" s="17">
        <v>2080</v>
      </c>
      <c r="P80" s="17" t="s">
        <v>153</v>
      </c>
      <c r="Q80" s="20">
        <f>'[1]FEBE Academics 2024'!R80</f>
        <v>29694</v>
      </c>
      <c r="R80" s="21">
        <f ca="1">YEARFRAC(Q80,TODAY())</f>
        <v>45.297222222222224</v>
      </c>
      <c r="S80" s="20">
        <f>EDATE(Q80,12*65)</f>
        <v>53435</v>
      </c>
      <c r="T80" s="17">
        <v>30000294</v>
      </c>
      <c r="U80" s="17" t="s">
        <v>80</v>
      </c>
      <c r="V80" s="17" t="s">
        <v>81</v>
      </c>
      <c r="W80" s="17" t="s">
        <v>82</v>
      </c>
      <c r="X80" s="22" t="s">
        <v>658</v>
      </c>
      <c r="Y80" s="23">
        <v>45734</v>
      </c>
      <c r="Z80" s="22" t="s">
        <v>659</v>
      </c>
      <c r="AA80" s="34">
        <v>2022</v>
      </c>
      <c r="AB80" s="34">
        <v>2026</v>
      </c>
      <c r="AC80" s="34" t="s">
        <v>85</v>
      </c>
      <c r="AD80" s="34" t="s">
        <v>0</v>
      </c>
      <c r="AE80" s="17" t="s">
        <v>0</v>
      </c>
      <c r="AF80" s="17" t="s">
        <v>0</v>
      </c>
      <c r="AG80" s="17" t="s">
        <v>0</v>
      </c>
      <c r="AH80" s="17" t="s">
        <v>0</v>
      </c>
      <c r="AI80" s="17" t="s">
        <v>0</v>
      </c>
      <c r="AJ80" s="22">
        <v>0.5</v>
      </c>
      <c r="AK80" s="22">
        <v>0</v>
      </c>
      <c r="AL80" s="22">
        <v>0</v>
      </c>
      <c r="AM80" s="18">
        <v>0</v>
      </c>
      <c r="AN80" s="17"/>
      <c r="AO80" s="17" t="s">
        <v>0</v>
      </c>
      <c r="AP80" s="17" t="s">
        <v>0</v>
      </c>
      <c r="AQ80" s="18" t="s">
        <v>1270</v>
      </c>
      <c r="AR80" s="18" t="s">
        <v>1270</v>
      </c>
      <c r="AS80" s="17" t="s">
        <v>0</v>
      </c>
      <c r="AT80" s="17" t="s">
        <v>0</v>
      </c>
      <c r="AU80" s="17" t="s">
        <v>0</v>
      </c>
      <c r="AV80" s="17" t="s">
        <v>0</v>
      </c>
      <c r="AW80" s="18" t="s">
        <v>0</v>
      </c>
      <c r="AX80" s="17">
        <v>0</v>
      </c>
      <c r="AY80" s="17" t="s">
        <v>0</v>
      </c>
      <c r="AZ80" s="17" t="s">
        <v>0</v>
      </c>
      <c r="BA80" s="17">
        <v>0</v>
      </c>
      <c r="BB80" s="17" t="s">
        <v>94</v>
      </c>
      <c r="BC80" s="17" t="s">
        <v>0</v>
      </c>
      <c r="BD80" s="17" t="s">
        <v>0</v>
      </c>
      <c r="BE80" s="18" t="s">
        <v>0</v>
      </c>
      <c r="BF80" s="18" t="s">
        <v>0</v>
      </c>
    </row>
    <row r="81" spans="1:58" ht="17.850000000000001" customHeight="1">
      <c r="A81" s="17" t="s">
        <v>54</v>
      </c>
      <c r="B81" s="17">
        <v>30007151</v>
      </c>
      <c r="C81" s="17" t="s">
        <v>277</v>
      </c>
      <c r="D81" s="17" t="s">
        <v>278</v>
      </c>
      <c r="E81" s="17" t="s">
        <v>279</v>
      </c>
      <c r="F81" s="19" t="s">
        <v>280</v>
      </c>
      <c r="G81" s="19" t="s">
        <v>74</v>
      </c>
      <c r="H81" s="17" t="s">
        <v>60</v>
      </c>
      <c r="I81" s="19" t="s">
        <v>76</v>
      </c>
      <c r="J81" s="17" t="s">
        <v>62</v>
      </c>
      <c r="K81" s="19" t="s">
        <v>63</v>
      </c>
      <c r="L81" s="17" t="s">
        <v>78</v>
      </c>
      <c r="M81" s="17" t="s">
        <v>60</v>
      </c>
      <c r="N81" s="17" t="s">
        <v>281</v>
      </c>
      <c r="O81" s="17">
        <v>594</v>
      </c>
      <c r="P81" s="17" t="s">
        <v>170</v>
      </c>
      <c r="Q81" s="20">
        <f>'[1]FEBE Academics 2024'!R83</f>
        <v>25798</v>
      </c>
      <c r="R81" s="21">
        <f ca="1">YEARFRAC(Q81,TODAY())</f>
        <v>55.963888888888889</v>
      </c>
      <c r="S81" s="20">
        <f>EDATE(Q81,12*65)</f>
        <v>49539</v>
      </c>
      <c r="T81" s="17">
        <v>30007204</v>
      </c>
      <c r="U81" s="17" t="s">
        <v>59</v>
      </c>
      <c r="V81" s="17" t="s">
        <v>66</v>
      </c>
      <c r="W81" s="17" t="s">
        <v>67</v>
      </c>
      <c r="X81" s="22" t="s">
        <v>282</v>
      </c>
      <c r="Y81" s="23">
        <v>45723</v>
      </c>
      <c r="Z81" s="22" t="s">
        <v>0</v>
      </c>
      <c r="AA81" s="22" t="s">
        <v>0</v>
      </c>
      <c r="AB81" s="22" t="s">
        <v>0</v>
      </c>
      <c r="AC81" s="22" t="s">
        <v>0</v>
      </c>
      <c r="AD81" s="22" t="s">
        <v>0</v>
      </c>
      <c r="AE81" s="17" t="s">
        <v>0</v>
      </c>
      <c r="AF81" s="17" t="s">
        <v>0</v>
      </c>
      <c r="AG81" s="17" t="s">
        <v>0</v>
      </c>
      <c r="AH81" s="17" t="s">
        <v>0</v>
      </c>
      <c r="AI81" s="17" t="s">
        <v>0</v>
      </c>
      <c r="AJ81" s="22">
        <v>0.5</v>
      </c>
      <c r="AK81" s="22">
        <v>0</v>
      </c>
      <c r="AL81" s="22">
        <v>0</v>
      </c>
      <c r="AM81" s="25">
        <v>0</v>
      </c>
      <c r="AN81" s="25"/>
      <c r="AO81" s="17" t="s">
        <v>0</v>
      </c>
      <c r="AP81" s="17" t="s">
        <v>0</v>
      </c>
      <c r="AQ81" s="18" t="s">
        <v>1270</v>
      </c>
      <c r="AR81" s="18"/>
      <c r="AS81" s="17" t="s">
        <v>0</v>
      </c>
      <c r="AT81" s="17" t="s">
        <v>0</v>
      </c>
      <c r="AU81" s="17" t="s">
        <v>0</v>
      </c>
      <c r="AV81" s="17" t="s">
        <v>0</v>
      </c>
      <c r="AW81" s="18" t="s">
        <v>0</v>
      </c>
      <c r="AX81" s="17">
        <v>0</v>
      </c>
      <c r="AY81" s="17" t="s">
        <v>0</v>
      </c>
      <c r="AZ81" s="17" t="s">
        <v>0</v>
      </c>
      <c r="BA81" s="17">
        <v>0</v>
      </c>
      <c r="BB81" s="17" t="s">
        <v>94</v>
      </c>
      <c r="BC81" s="17" t="s">
        <v>0</v>
      </c>
      <c r="BD81" s="17" t="s">
        <v>0</v>
      </c>
      <c r="BE81" s="18" t="s">
        <v>0</v>
      </c>
      <c r="BF81" s="18" t="s">
        <v>0</v>
      </c>
    </row>
    <row r="82" spans="1:58" ht="17.850000000000001" customHeight="1">
      <c r="A82" s="17" t="s">
        <v>54</v>
      </c>
      <c r="B82" s="17">
        <v>30007204</v>
      </c>
      <c r="C82" s="17" t="s">
        <v>167</v>
      </c>
      <c r="D82" s="17" t="s">
        <v>168</v>
      </c>
      <c r="E82" s="17" t="s">
        <v>67</v>
      </c>
      <c r="F82" s="19" t="s">
        <v>66</v>
      </c>
      <c r="G82" s="19" t="s">
        <v>59</v>
      </c>
      <c r="H82" s="17" t="s">
        <v>169</v>
      </c>
      <c r="I82" s="19" t="s">
        <v>61</v>
      </c>
      <c r="J82" s="17" t="s">
        <v>101</v>
      </c>
      <c r="K82" s="19" t="s">
        <v>63</v>
      </c>
      <c r="L82" s="17" t="s">
        <v>78</v>
      </c>
      <c r="M82" s="17" t="s">
        <v>169</v>
      </c>
      <c r="N82" s="17" t="s">
        <v>65</v>
      </c>
      <c r="O82" s="17">
        <v>594</v>
      </c>
      <c r="P82" s="17" t="s">
        <v>170</v>
      </c>
      <c r="Q82" s="20"/>
      <c r="R82" s="21"/>
      <c r="S82" s="20"/>
      <c r="T82" s="17">
        <v>30082157</v>
      </c>
      <c r="U82" s="17" t="s">
        <v>105</v>
      </c>
      <c r="V82" s="17" t="s">
        <v>171</v>
      </c>
      <c r="W82" s="17" t="s">
        <v>172</v>
      </c>
      <c r="X82" s="22" t="s">
        <v>173</v>
      </c>
      <c r="Y82" s="23">
        <v>36800</v>
      </c>
      <c r="Z82" s="34" t="s">
        <v>174</v>
      </c>
      <c r="AA82" s="34">
        <v>2022</v>
      </c>
      <c r="AB82" s="34">
        <v>2025</v>
      </c>
      <c r="AC82" s="34" t="s">
        <v>85</v>
      </c>
      <c r="AD82" s="34" t="s">
        <v>175</v>
      </c>
      <c r="AE82" s="18" t="s">
        <v>0</v>
      </c>
      <c r="AF82" s="18" t="s">
        <v>176</v>
      </c>
      <c r="AG82" s="18" t="s">
        <v>0</v>
      </c>
      <c r="AH82" s="17" t="s">
        <v>0</v>
      </c>
      <c r="AI82" s="17" t="s">
        <v>0</v>
      </c>
      <c r="AJ82" s="22">
        <v>0.5</v>
      </c>
      <c r="AK82" s="22">
        <v>0</v>
      </c>
      <c r="AL82" s="22">
        <v>0</v>
      </c>
      <c r="AM82" s="25">
        <v>0</v>
      </c>
      <c r="AN82" s="25"/>
      <c r="AO82" s="17" t="s">
        <v>0</v>
      </c>
      <c r="AP82" s="17" t="s">
        <v>0</v>
      </c>
      <c r="AQ82" s="18" t="s">
        <v>1270</v>
      </c>
      <c r="AR82" s="18"/>
      <c r="AS82" s="18" t="s">
        <v>0</v>
      </c>
      <c r="AT82" s="18" t="s">
        <v>0</v>
      </c>
      <c r="AU82" s="18" t="s">
        <v>0</v>
      </c>
      <c r="AV82" s="18" t="s">
        <v>0</v>
      </c>
      <c r="AW82" s="18" t="s">
        <v>0</v>
      </c>
      <c r="AX82" s="17">
        <v>0</v>
      </c>
      <c r="AY82" s="17" t="s">
        <v>0</v>
      </c>
      <c r="AZ82" s="17" t="s">
        <v>0</v>
      </c>
      <c r="BA82" s="17">
        <v>0</v>
      </c>
      <c r="BB82" s="18" t="s">
        <v>94</v>
      </c>
      <c r="BC82" s="18" t="s">
        <v>0</v>
      </c>
      <c r="BD82" s="18" t="s">
        <v>0</v>
      </c>
      <c r="BE82" s="18" t="s">
        <v>0</v>
      </c>
      <c r="BF82" s="18" t="s">
        <v>0</v>
      </c>
    </row>
    <row r="83" spans="1:58" s="26" customFormat="1" ht="17.850000000000001" customHeight="1">
      <c r="A83" s="27" t="s">
        <v>125</v>
      </c>
      <c r="B83" s="27">
        <v>30096799</v>
      </c>
      <c r="C83" s="27" t="s">
        <v>505</v>
      </c>
      <c r="D83" s="27" t="s">
        <v>506</v>
      </c>
      <c r="E83" s="27" t="s">
        <v>507</v>
      </c>
      <c r="F83" s="29" t="s">
        <v>508</v>
      </c>
      <c r="G83" s="29" t="s">
        <v>74</v>
      </c>
      <c r="H83" s="27" t="s">
        <v>60</v>
      </c>
      <c r="I83" s="29" t="s">
        <v>76</v>
      </c>
      <c r="J83" s="27" t="s">
        <v>62</v>
      </c>
      <c r="K83" s="29" t="s">
        <v>120</v>
      </c>
      <c r="L83" s="27" t="s">
        <v>78</v>
      </c>
      <c r="M83" s="27" t="s">
        <v>121</v>
      </c>
      <c r="N83" s="27" t="s">
        <v>281</v>
      </c>
      <c r="O83" s="27">
        <v>614</v>
      </c>
      <c r="P83" s="27" t="s">
        <v>509</v>
      </c>
      <c r="Q83" s="41">
        <v>33811</v>
      </c>
      <c r="R83" s="27"/>
      <c r="S83" s="27"/>
      <c r="T83" s="27">
        <v>30101611</v>
      </c>
      <c r="U83" s="27" t="s">
        <v>105</v>
      </c>
      <c r="V83" s="27" t="s">
        <v>76</v>
      </c>
      <c r="W83" s="27" t="s">
        <v>131</v>
      </c>
      <c r="X83" s="27" t="s">
        <v>496</v>
      </c>
      <c r="Y83" s="42">
        <v>43101</v>
      </c>
      <c r="Z83" s="27" t="s">
        <v>133</v>
      </c>
      <c r="AA83" s="27" t="s">
        <v>133</v>
      </c>
      <c r="AB83" s="27" t="s">
        <v>133</v>
      </c>
      <c r="AC83" s="27" t="s">
        <v>133</v>
      </c>
      <c r="AD83" s="27" t="s">
        <v>133</v>
      </c>
      <c r="AE83" s="27" t="s">
        <v>133</v>
      </c>
      <c r="AF83" s="27"/>
      <c r="AG83" s="27"/>
      <c r="AH83" s="27"/>
      <c r="AI83" s="27"/>
      <c r="AJ83" s="27"/>
      <c r="AK83" s="27"/>
      <c r="AL83" s="27"/>
      <c r="AM83" s="27"/>
      <c r="AN83" s="17"/>
      <c r="AO83" s="27"/>
      <c r="AP83" s="27"/>
      <c r="AQ83" s="62"/>
      <c r="AR83" s="18" t="s">
        <v>1270</v>
      </c>
      <c r="AS83" s="27"/>
      <c r="AT83" s="27"/>
      <c r="AU83" s="27"/>
      <c r="AV83" s="27"/>
      <c r="AW83" s="27"/>
      <c r="AX83" s="27"/>
      <c r="AY83" s="27"/>
      <c r="AZ83" s="27"/>
      <c r="BA83" s="27"/>
      <c r="BB83" s="27"/>
      <c r="BC83" s="27"/>
      <c r="BD83" s="27"/>
      <c r="BE83" s="27"/>
      <c r="BF83" s="27"/>
    </row>
    <row r="84" spans="1:58" ht="17.850000000000001" customHeight="1">
      <c r="A84" s="17" t="s">
        <v>54</v>
      </c>
      <c r="B84" s="17">
        <v>30107388</v>
      </c>
      <c r="C84" s="17" t="s">
        <v>892</v>
      </c>
      <c r="D84" s="17" t="s">
        <v>893</v>
      </c>
      <c r="E84" s="17" t="s">
        <v>894</v>
      </c>
      <c r="F84" s="19" t="s">
        <v>791</v>
      </c>
      <c r="G84" s="19" t="s">
        <v>80</v>
      </c>
      <c r="H84" s="17" t="s">
        <v>895</v>
      </c>
      <c r="I84" s="19" t="s">
        <v>76</v>
      </c>
      <c r="J84" s="17" t="s">
        <v>62</v>
      </c>
      <c r="K84" s="19" t="s">
        <v>63</v>
      </c>
      <c r="L84" s="17" t="s">
        <v>78</v>
      </c>
      <c r="M84" s="17" t="s">
        <v>895</v>
      </c>
      <c r="N84" s="17" t="s">
        <v>65</v>
      </c>
      <c r="O84" s="17">
        <v>594</v>
      </c>
      <c r="P84" s="17" t="s">
        <v>170</v>
      </c>
      <c r="Q84" s="20">
        <f>'[1]FEBE Academics 2024'!R86</f>
        <v>25257</v>
      </c>
      <c r="R84" s="21">
        <f ca="1">YEARFRAC(Q84,TODAY())</f>
        <v>57.45</v>
      </c>
      <c r="S84" s="20">
        <f>EDATE(Q84,12*65)</f>
        <v>48998</v>
      </c>
      <c r="T84" s="17">
        <v>30007204</v>
      </c>
      <c r="U84" s="17" t="s">
        <v>59</v>
      </c>
      <c r="V84" s="17" t="s">
        <v>66</v>
      </c>
      <c r="W84" s="17" t="s">
        <v>67</v>
      </c>
      <c r="X84" s="17" t="s">
        <v>896</v>
      </c>
      <c r="Y84" s="81">
        <v>45794</v>
      </c>
      <c r="Z84" s="22" t="s">
        <v>0</v>
      </c>
      <c r="AA84" s="22" t="s">
        <v>0</v>
      </c>
      <c r="AB84" s="22" t="s">
        <v>0</v>
      </c>
      <c r="AC84" s="22" t="s">
        <v>0</v>
      </c>
      <c r="AD84" s="22" t="s">
        <v>0</v>
      </c>
      <c r="AE84" s="17" t="s">
        <v>0</v>
      </c>
      <c r="AF84" s="17" t="s">
        <v>0</v>
      </c>
      <c r="AG84" s="17" t="s">
        <v>0</v>
      </c>
      <c r="AH84" s="17" t="s">
        <v>0</v>
      </c>
      <c r="AI84" s="17" t="s">
        <v>0</v>
      </c>
      <c r="AJ84" s="22">
        <v>0.5</v>
      </c>
      <c r="AK84" s="22">
        <v>0</v>
      </c>
      <c r="AL84" s="22">
        <v>0</v>
      </c>
      <c r="AM84" s="140">
        <v>1</v>
      </c>
      <c r="AN84" s="141"/>
      <c r="AO84" s="17" t="s">
        <v>0</v>
      </c>
      <c r="AP84" s="17" t="s">
        <v>0</v>
      </c>
      <c r="AQ84" s="17"/>
      <c r="AR84" s="18" t="s">
        <v>1270</v>
      </c>
      <c r="AS84" s="17" t="s">
        <v>0</v>
      </c>
      <c r="AT84" s="17" t="s">
        <v>0</v>
      </c>
      <c r="AU84" s="17" t="s">
        <v>0</v>
      </c>
      <c r="AV84" s="17" t="s">
        <v>0</v>
      </c>
      <c r="AW84" s="18" t="s">
        <v>0</v>
      </c>
      <c r="AX84" s="17">
        <v>0</v>
      </c>
      <c r="AY84" s="17" t="s">
        <v>0</v>
      </c>
      <c r="AZ84" s="17" t="s">
        <v>0</v>
      </c>
      <c r="BA84" s="17">
        <v>0</v>
      </c>
      <c r="BB84" s="40" t="s">
        <v>897</v>
      </c>
      <c r="BC84" s="17" t="s">
        <v>0</v>
      </c>
      <c r="BD84" s="17" t="s">
        <v>0</v>
      </c>
      <c r="BE84" s="18" t="s">
        <v>0</v>
      </c>
      <c r="BF84" s="18" t="s">
        <v>0</v>
      </c>
    </row>
    <row r="85" spans="1:58" s="47" customFormat="1" ht="17.850000000000001" customHeight="1">
      <c r="A85" s="27" t="s">
        <v>54</v>
      </c>
      <c r="B85" s="27">
        <v>30016026</v>
      </c>
      <c r="C85" s="27" t="s">
        <v>867</v>
      </c>
      <c r="D85" s="27" t="s">
        <v>868</v>
      </c>
      <c r="E85" s="27" t="s">
        <v>869</v>
      </c>
      <c r="F85" s="29" t="s">
        <v>870</v>
      </c>
      <c r="G85" s="29" t="s">
        <v>80</v>
      </c>
      <c r="H85" s="27" t="s">
        <v>60</v>
      </c>
      <c r="I85" s="29" t="s">
        <v>61</v>
      </c>
      <c r="J85" s="27" t="s">
        <v>62</v>
      </c>
      <c r="K85" s="29" t="s">
        <v>63</v>
      </c>
      <c r="L85" s="27" t="s">
        <v>78</v>
      </c>
      <c r="M85" s="27" t="s">
        <v>140</v>
      </c>
      <c r="N85" s="27" t="s">
        <v>65</v>
      </c>
      <c r="O85" s="27">
        <v>594</v>
      </c>
      <c r="P85" s="27" t="s">
        <v>170</v>
      </c>
      <c r="Q85" s="41">
        <v>30146</v>
      </c>
      <c r="R85" s="27"/>
      <c r="S85" s="27"/>
      <c r="T85" s="27">
        <v>30007204</v>
      </c>
      <c r="U85" s="27" t="s">
        <v>59</v>
      </c>
      <c r="V85" s="27" t="s">
        <v>66</v>
      </c>
      <c r="W85" s="27" t="s">
        <v>67</v>
      </c>
      <c r="X85" s="27" t="s">
        <v>154</v>
      </c>
      <c r="Y85" s="42">
        <v>42005</v>
      </c>
      <c r="Z85" s="27"/>
      <c r="AA85" s="17"/>
      <c r="AB85" s="17"/>
      <c r="AC85" s="17"/>
      <c r="AD85" s="17"/>
      <c r="AE85" s="17"/>
      <c r="AF85" s="17"/>
      <c r="AG85" s="17"/>
      <c r="AH85" s="17"/>
      <c r="AI85" s="17"/>
      <c r="AJ85" s="17"/>
      <c r="AK85" s="17"/>
      <c r="AL85" s="17"/>
      <c r="AM85" s="17"/>
      <c r="AN85" s="17"/>
      <c r="AO85" s="17"/>
      <c r="AP85" s="17"/>
      <c r="AQ85" s="62"/>
      <c r="AR85" s="18" t="s">
        <v>1270</v>
      </c>
      <c r="AS85" s="17"/>
      <c r="AT85" s="17"/>
      <c r="AU85" s="17"/>
      <c r="AV85" s="17"/>
      <c r="AW85" s="17"/>
      <c r="AX85" s="17"/>
      <c r="AY85" s="17"/>
      <c r="AZ85" s="17"/>
      <c r="BA85" s="17"/>
      <c r="BB85" s="17"/>
      <c r="BC85" s="17"/>
      <c r="BD85" s="17"/>
      <c r="BE85" s="17"/>
      <c r="BF85" s="17"/>
    </row>
    <row r="86" spans="1:58" ht="17.850000000000001" customHeight="1">
      <c r="A86" s="17" t="s">
        <v>69</v>
      </c>
      <c r="B86" s="17">
        <v>30007162</v>
      </c>
      <c r="C86" s="18" t="s">
        <v>847</v>
      </c>
      <c r="D86" s="17" t="s">
        <v>848</v>
      </c>
      <c r="E86" s="17" t="s">
        <v>849</v>
      </c>
      <c r="F86" s="19" t="s">
        <v>850</v>
      </c>
      <c r="G86" s="19" t="s">
        <v>304</v>
      </c>
      <c r="H86" s="17" t="s">
        <v>851</v>
      </c>
      <c r="I86" s="19" t="s">
        <v>76</v>
      </c>
      <c r="J86" s="17" t="s">
        <v>0</v>
      </c>
      <c r="K86" s="19" t="s">
        <v>63</v>
      </c>
      <c r="L86" s="17" t="s">
        <v>0</v>
      </c>
      <c r="M86" s="17" t="s">
        <v>0</v>
      </c>
      <c r="N86" s="17" t="s">
        <v>0</v>
      </c>
      <c r="O86" s="17" t="s">
        <v>0</v>
      </c>
      <c r="P86" s="17" t="s">
        <v>0</v>
      </c>
      <c r="Q86" s="20">
        <f>'[1]FEBE Academics 2024'!R84</f>
        <v>24895</v>
      </c>
      <c r="R86" s="21">
        <f ca="1">YEARFRAC(Q86,TODAY())</f>
        <v>58.43888888888889</v>
      </c>
      <c r="S86" s="20">
        <f>EDATE(Q86,12*65)</f>
        <v>48637</v>
      </c>
      <c r="T86" s="17">
        <v>30000294</v>
      </c>
      <c r="U86" s="17" t="s">
        <v>80</v>
      </c>
      <c r="V86" s="17" t="s">
        <v>81</v>
      </c>
      <c r="W86" s="17" t="s">
        <v>82</v>
      </c>
      <c r="X86" s="22" t="s">
        <v>113</v>
      </c>
      <c r="Y86" s="59" t="s">
        <v>0</v>
      </c>
      <c r="Z86" s="34" t="s">
        <v>0</v>
      </c>
      <c r="AA86" s="34" t="s">
        <v>0</v>
      </c>
      <c r="AB86" s="34" t="s">
        <v>0</v>
      </c>
      <c r="AC86" s="34" t="s">
        <v>0</v>
      </c>
      <c r="AD86" s="34" t="s">
        <v>0</v>
      </c>
      <c r="AE86" s="18" t="s">
        <v>0</v>
      </c>
      <c r="AF86" s="18" t="s">
        <v>0</v>
      </c>
      <c r="AG86" s="18" t="s">
        <v>0</v>
      </c>
      <c r="AH86" s="17" t="s">
        <v>0</v>
      </c>
      <c r="AI86" s="17" t="s">
        <v>0</v>
      </c>
      <c r="AJ86" s="22">
        <v>3</v>
      </c>
      <c r="AK86" s="36">
        <v>2.12</v>
      </c>
      <c r="AL86" s="22">
        <v>0.97</v>
      </c>
      <c r="AM86" s="82">
        <f>0.3333+0.333+0.333+0.1667</f>
        <v>1.1660000000000001</v>
      </c>
      <c r="AN86" s="55">
        <v>3.1665999999999999</v>
      </c>
      <c r="AO86" s="17" t="s">
        <v>0</v>
      </c>
      <c r="AP86" s="17" t="s">
        <v>0</v>
      </c>
      <c r="AQ86" s="17"/>
      <c r="AR86" s="18" t="s">
        <v>1270</v>
      </c>
      <c r="AS86" s="18" t="s">
        <v>0</v>
      </c>
      <c r="AT86" s="18" t="s">
        <v>0</v>
      </c>
      <c r="AU86" s="18" t="s">
        <v>0</v>
      </c>
      <c r="AV86" s="18" t="s">
        <v>0</v>
      </c>
      <c r="AW86" s="18">
        <v>52</v>
      </c>
      <c r="AX86" s="17">
        <v>38</v>
      </c>
      <c r="AY86" s="17" t="s">
        <v>0</v>
      </c>
      <c r="AZ86" s="17">
        <v>14</v>
      </c>
      <c r="BA86" s="17">
        <v>14</v>
      </c>
      <c r="BB86" s="40" t="s">
        <v>852</v>
      </c>
      <c r="BC86" s="18" t="s">
        <v>0</v>
      </c>
      <c r="BD86" s="18" t="s">
        <v>0</v>
      </c>
      <c r="BE86" s="18" t="s">
        <v>0</v>
      </c>
      <c r="BF86" s="18" t="s">
        <v>0</v>
      </c>
    </row>
    <row r="87" spans="1:58" ht="17.850000000000001" customHeight="1">
      <c r="A87" s="17" t="s">
        <v>69</v>
      </c>
      <c r="B87" s="17">
        <v>30080013</v>
      </c>
      <c r="C87" s="17" t="s">
        <v>695</v>
      </c>
      <c r="D87" s="17" t="s">
        <v>696</v>
      </c>
      <c r="E87" s="17" t="s">
        <v>697</v>
      </c>
      <c r="F87" s="19" t="s">
        <v>698</v>
      </c>
      <c r="G87" s="19" t="s">
        <v>74</v>
      </c>
      <c r="H87" s="17" t="s">
        <v>60</v>
      </c>
      <c r="I87" s="19" t="s">
        <v>76</v>
      </c>
      <c r="J87" s="17" t="s">
        <v>62</v>
      </c>
      <c r="K87" s="19" t="s">
        <v>63</v>
      </c>
      <c r="L87" s="17" t="s">
        <v>64</v>
      </c>
      <c r="M87" s="17" t="s">
        <v>60</v>
      </c>
      <c r="N87" s="17" t="s">
        <v>65</v>
      </c>
      <c r="O87" s="17">
        <v>2010</v>
      </c>
      <c r="P87" s="17" t="s">
        <v>91</v>
      </c>
      <c r="Q87" s="20">
        <f>'[1]FEBE Academics 2024'!R87</f>
        <v>25619</v>
      </c>
      <c r="R87" s="21">
        <f ca="1">YEARFRAC(Q87,TODAY())</f>
        <v>56.458333333333336</v>
      </c>
      <c r="S87" s="20">
        <f>EDATE(Q87,12*65)</f>
        <v>49360</v>
      </c>
      <c r="T87" s="17">
        <v>30000294</v>
      </c>
      <c r="U87" s="17" t="s">
        <v>80</v>
      </c>
      <c r="V87" s="17" t="s">
        <v>81</v>
      </c>
      <c r="W87" s="17" t="s">
        <v>82</v>
      </c>
      <c r="X87" s="17" t="s">
        <v>694</v>
      </c>
      <c r="Y87" s="81">
        <v>36495</v>
      </c>
      <c r="Z87" s="22" t="s">
        <v>0</v>
      </c>
      <c r="AA87" s="22" t="s">
        <v>0</v>
      </c>
      <c r="AB87" s="22" t="s">
        <v>0</v>
      </c>
      <c r="AC87" s="22" t="s">
        <v>0</v>
      </c>
      <c r="AD87" s="22" t="s">
        <v>0</v>
      </c>
      <c r="AE87" s="17" t="s">
        <v>0</v>
      </c>
      <c r="AF87" s="17" t="s">
        <v>0</v>
      </c>
      <c r="AG87" s="17" t="s">
        <v>0</v>
      </c>
      <c r="AH87" s="17" t="s">
        <v>0</v>
      </c>
      <c r="AI87" s="17" t="s">
        <v>0</v>
      </c>
      <c r="AJ87" s="22">
        <v>0.5</v>
      </c>
      <c r="AK87" s="22">
        <v>0</v>
      </c>
      <c r="AL87" s="22">
        <v>0</v>
      </c>
      <c r="AM87" s="18">
        <v>0</v>
      </c>
      <c r="AN87" s="17"/>
      <c r="AO87" s="17" t="s">
        <v>0</v>
      </c>
      <c r="AP87" s="17" t="s">
        <v>0</v>
      </c>
      <c r="AQ87" s="18" t="s">
        <v>1270</v>
      </c>
      <c r="AR87" s="18" t="s">
        <v>1270</v>
      </c>
      <c r="AS87" s="17" t="s">
        <v>0</v>
      </c>
      <c r="AT87" s="17" t="s">
        <v>0</v>
      </c>
      <c r="AU87" s="17" t="s">
        <v>0</v>
      </c>
      <c r="AV87" s="17" t="s">
        <v>0</v>
      </c>
      <c r="AW87" s="18" t="s">
        <v>0</v>
      </c>
      <c r="AX87" s="17">
        <v>0</v>
      </c>
      <c r="AY87" s="17" t="s">
        <v>0</v>
      </c>
      <c r="AZ87" s="17" t="s">
        <v>0</v>
      </c>
      <c r="BA87" s="17">
        <v>0</v>
      </c>
      <c r="BB87" s="17" t="s">
        <v>94</v>
      </c>
      <c r="BC87" s="17" t="s">
        <v>0</v>
      </c>
      <c r="BD87" s="17" t="s">
        <v>0</v>
      </c>
      <c r="BE87" s="18" t="s">
        <v>0</v>
      </c>
      <c r="BF87" s="18" t="s">
        <v>0</v>
      </c>
    </row>
    <row r="88" spans="1:58" s="47" customFormat="1" ht="17.850000000000001" customHeight="1">
      <c r="A88" s="17" t="s">
        <v>115</v>
      </c>
      <c r="B88" s="17">
        <v>30105629</v>
      </c>
      <c r="C88" s="17" t="s">
        <v>810</v>
      </c>
      <c r="D88" s="17" t="s">
        <v>811</v>
      </c>
      <c r="E88" s="17" t="s">
        <v>812</v>
      </c>
      <c r="F88" s="19" t="s">
        <v>813</v>
      </c>
      <c r="G88" s="19" t="s">
        <v>80</v>
      </c>
      <c r="H88" s="17" t="s">
        <v>814</v>
      </c>
      <c r="I88" s="19" t="s">
        <v>76</v>
      </c>
      <c r="J88" s="17" t="s">
        <v>62</v>
      </c>
      <c r="K88" s="19" t="s">
        <v>63</v>
      </c>
      <c r="L88" s="17" t="s">
        <v>78</v>
      </c>
      <c r="M88" s="17" t="s">
        <v>814</v>
      </c>
      <c r="N88" s="17" t="s">
        <v>65</v>
      </c>
      <c r="O88" s="17">
        <v>110</v>
      </c>
      <c r="P88" s="17" t="s">
        <v>380</v>
      </c>
      <c r="Q88" s="20">
        <f>'[1]FEBE Academics 2024'!R88</f>
        <v>31237</v>
      </c>
      <c r="R88" s="21">
        <f ca="1">YEARFRAC(Q88,TODAY())</f>
        <v>41.072222222222223</v>
      </c>
      <c r="S88" s="20">
        <f>EDATE(Q88,12*65)</f>
        <v>54978</v>
      </c>
      <c r="T88" s="17">
        <v>30097178</v>
      </c>
      <c r="U88" s="17" t="s">
        <v>105</v>
      </c>
      <c r="V88" s="17" t="s">
        <v>66</v>
      </c>
      <c r="W88" s="17" t="s">
        <v>123</v>
      </c>
      <c r="X88" s="17" t="s">
        <v>142</v>
      </c>
      <c r="Y88" s="81">
        <v>45982</v>
      </c>
      <c r="Z88" s="22" t="s">
        <v>0</v>
      </c>
      <c r="AA88" s="22" t="s">
        <v>0</v>
      </c>
      <c r="AB88" s="22" t="s">
        <v>0</v>
      </c>
      <c r="AC88" s="22" t="s">
        <v>0</v>
      </c>
      <c r="AD88" s="22" t="s">
        <v>0</v>
      </c>
      <c r="AE88" s="17" t="s">
        <v>0</v>
      </c>
      <c r="AF88" s="17" t="s">
        <v>0</v>
      </c>
      <c r="AG88" s="17" t="s">
        <v>0</v>
      </c>
      <c r="AH88" s="17" t="s">
        <v>0</v>
      </c>
      <c r="AI88" s="17" t="s">
        <v>0</v>
      </c>
      <c r="AJ88" s="22">
        <v>0.5</v>
      </c>
      <c r="AK88" s="22">
        <v>0</v>
      </c>
      <c r="AL88" s="22">
        <v>0</v>
      </c>
      <c r="AM88" s="25">
        <v>0</v>
      </c>
      <c r="AN88" s="75">
        <v>0.16669999999999999</v>
      </c>
      <c r="AO88" s="17" t="s">
        <v>0</v>
      </c>
      <c r="AP88" s="17" t="s">
        <v>0</v>
      </c>
      <c r="AQ88" s="18" t="s">
        <v>1270</v>
      </c>
      <c r="AR88" s="18"/>
      <c r="AS88" s="17" t="s">
        <v>0</v>
      </c>
      <c r="AT88" s="17" t="s">
        <v>0</v>
      </c>
      <c r="AU88" s="17" t="s">
        <v>0</v>
      </c>
      <c r="AV88" s="17" t="s">
        <v>0</v>
      </c>
      <c r="AW88" s="18">
        <v>11</v>
      </c>
      <c r="AX88" s="17">
        <v>0</v>
      </c>
      <c r="AY88" s="17" t="s">
        <v>0</v>
      </c>
      <c r="AZ88" s="17">
        <v>3</v>
      </c>
      <c r="BA88" s="17">
        <v>0</v>
      </c>
      <c r="BB88" s="17" t="s">
        <v>94</v>
      </c>
      <c r="BC88" s="17" t="s">
        <v>0</v>
      </c>
      <c r="BD88" s="17" t="s">
        <v>0</v>
      </c>
      <c r="BE88" s="18" t="s">
        <v>0</v>
      </c>
      <c r="BF88" s="18" t="s">
        <v>0</v>
      </c>
    </row>
    <row r="89" spans="1:58" ht="17.850000000000001" customHeight="1">
      <c r="A89" s="17" t="s">
        <v>95</v>
      </c>
      <c r="B89" s="17">
        <v>30007678</v>
      </c>
      <c r="C89" s="17" t="s">
        <v>1185</v>
      </c>
      <c r="D89" s="17" t="s">
        <v>1186</v>
      </c>
      <c r="E89" s="17" t="s">
        <v>1187</v>
      </c>
      <c r="F89" s="19" t="s">
        <v>550</v>
      </c>
      <c r="G89" s="19" t="s">
        <v>74</v>
      </c>
      <c r="H89" s="17" t="s">
        <v>102</v>
      </c>
      <c r="I89" s="19" t="s">
        <v>76</v>
      </c>
      <c r="J89" s="17" t="s">
        <v>77</v>
      </c>
      <c r="K89" s="19" t="s">
        <v>63</v>
      </c>
      <c r="L89" s="17" t="s">
        <v>78</v>
      </c>
      <c r="M89" s="17" t="s">
        <v>102</v>
      </c>
      <c r="N89" s="17" t="s">
        <v>65</v>
      </c>
      <c r="O89" s="17">
        <v>1012</v>
      </c>
      <c r="P89" s="17" t="s">
        <v>104</v>
      </c>
      <c r="Q89" s="20">
        <f>'[1]FEBE Academics 2024'!R89</f>
        <v>24318</v>
      </c>
      <c r="R89" s="21">
        <f ca="1">YEARFRAC(Q89,TODAY())</f>
        <v>60.013888888888886</v>
      </c>
      <c r="S89" s="20">
        <f>EDATE(Q89,12*65)</f>
        <v>48059</v>
      </c>
      <c r="T89" s="17">
        <v>30082157</v>
      </c>
      <c r="U89" s="17" t="s">
        <v>105</v>
      </c>
      <c r="V89" s="17" t="s">
        <v>171</v>
      </c>
      <c r="W89" s="17" t="s">
        <v>172</v>
      </c>
      <c r="X89" s="22" t="s">
        <v>1188</v>
      </c>
      <c r="Y89" s="23">
        <v>34304</v>
      </c>
      <c r="Z89" s="22" t="s">
        <v>0</v>
      </c>
      <c r="AA89" s="22" t="s">
        <v>0</v>
      </c>
      <c r="AB89" s="22" t="s">
        <v>0</v>
      </c>
      <c r="AC89" s="22" t="s">
        <v>0</v>
      </c>
      <c r="AD89" s="22" t="s">
        <v>0</v>
      </c>
      <c r="AE89" s="17" t="s">
        <v>0</v>
      </c>
      <c r="AF89" s="17" t="s">
        <v>0</v>
      </c>
      <c r="AG89" s="17" t="s">
        <v>0</v>
      </c>
      <c r="AH89" s="17" t="s">
        <v>0</v>
      </c>
      <c r="AI89" s="17" t="s">
        <v>0</v>
      </c>
      <c r="AJ89" s="22">
        <v>1</v>
      </c>
      <c r="AK89" s="22">
        <v>0</v>
      </c>
      <c r="AL89" s="22">
        <v>0</v>
      </c>
      <c r="AM89" s="32">
        <v>0</v>
      </c>
      <c r="AN89" s="22"/>
      <c r="AO89" s="17" t="s">
        <v>0</v>
      </c>
      <c r="AP89" s="17" t="s">
        <v>0</v>
      </c>
      <c r="AQ89" s="62"/>
      <c r="AR89" s="18" t="s">
        <v>1270</v>
      </c>
      <c r="AS89" s="17" t="s">
        <v>0</v>
      </c>
      <c r="AT89" s="17" t="s">
        <v>0</v>
      </c>
      <c r="AU89" s="17" t="s">
        <v>0</v>
      </c>
      <c r="AV89" s="17" t="s">
        <v>0</v>
      </c>
      <c r="AW89" s="18" t="s">
        <v>0</v>
      </c>
      <c r="AX89" s="17">
        <v>0</v>
      </c>
      <c r="AY89" s="17" t="s">
        <v>0</v>
      </c>
      <c r="AZ89" s="17" t="s">
        <v>0</v>
      </c>
      <c r="BA89" s="17">
        <v>0</v>
      </c>
      <c r="BB89" s="17" t="s">
        <v>94</v>
      </c>
      <c r="BC89" s="17" t="s">
        <v>0</v>
      </c>
      <c r="BD89" s="17" t="s">
        <v>0</v>
      </c>
      <c r="BE89" s="18" t="s">
        <v>0</v>
      </c>
      <c r="BF89" s="18" t="s">
        <v>0</v>
      </c>
    </row>
    <row r="90" spans="1:58" ht="17.850000000000001" customHeight="1">
      <c r="A90" s="27" t="s">
        <v>54</v>
      </c>
      <c r="B90" s="27">
        <v>30105597</v>
      </c>
      <c r="C90" s="201" t="s">
        <v>308</v>
      </c>
      <c r="D90" s="27" t="s">
        <v>309</v>
      </c>
      <c r="E90" s="27" t="s">
        <v>310</v>
      </c>
      <c r="F90" s="29" t="s">
        <v>257</v>
      </c>
      <c r="G90" s="29" t="s">
        <v>74</v>
      </c>
      <c r="H90" s="27" t="s">
        <v>60</v>
      </c>
      <c r="I90" s="29" t="s">
        <v>76</v>
      </c>
      <c r="J90" s="27" t="s">
        <v>101</v>
      </c>
      <c r="K90" s="29" t="s">
        <v>120</v>
      </c>
      <c r="L90" s="27" t="s">
        <v>78</v>
      </c>
      <c r="M90" s="27" t="s">
        <v>164</v>
      </c>
      <c r="N90" s="27" t="s">
        <v>122</v>
      </c>
      <c r="O90" s="27" t="s">
        <v>311</v>
      </c>
      <c r="P90" s="27" t="s">
        <v>311</v>
      </c>
      <c r="Q90" s="41">
        <v>34894</v>
      </c>
      <c r="R90" s="27"/>
      <c r="S90" s="27"/>
      <c r="T90" s="27">
        <v>30007204</v>
      </c>
      <c r="U90" s="27" t="s">
        <v>59</v>
      </c>
      <c r="V90" s="27" t="s">
        <v>66</v>
      </c>
      <c r="W90" s="27" t="s">
        <v>67</v>
      </c>
      <c r="X90" s="27" t="s">
        <v>312</v>
      </c>
      <c r="Y90" s="42">
        <v>45658</v>
      </c>
      <c r="Z90" s="27"/>
      <c r="AA90" s="17"/>
      <c r="AB90" s="17"/>
      <c r="AC90" s="17"/>
      <c r="AD90" s="17"/>
      <c r="AE90" s="17"/>
      <c r="AF90" s="17"/>
      <c r="AG90" s="17"/>
      <c r="AH90" s="17"/>
      <c r="AI90" s="17"/>
      <c r="AJ90" s="17"/>
      <c r="AK90" s="17"/>
      <c r="AL90" s="17"/>
      <c r="AM90" s="17"/>
      <c r="AN90" s="17"/>
      <c r="AO90" s="17"/>
      <c r="AP90" s="17"/>
      <c r="AQ90" s="18" t="s">
        <v>1270</v>
      </c>
      <c r="AR90" s="18"/>
      <c r="AS90" s="17"/>
      <c r="AT90" s="17"/>
      <c r="AU90" s="17"/>
      <c r="AV90" s="17"/>
      <c r="AW90" s="17"/>
      <c r="AX90" s="17"/>
      <c r="AY90" s="17"/>
      <c r="AZ90" s="17"/>
      <c r="BA90" s="17"/>
      <c r="BB90" s="17"/>
      <c r="BC90" s="17"/>
      <c r="BD90" s="17"/>
      <c r="BE90" s="17"/>
      <c r="BF90" s="17"/>
    </row>
    <row r="91" spans="1:58" s="47" customFormat="1" ht="17.850000000000001" customHeight="1">
      <c r="A91" s="17" t="s">
        <v>69</v>
      </c>
      <c r="B91" s="17">
        <v>30007823</v>
      </c>
      <c r="C91" s="17" t="s">
        <v>337</v>
      </c>
      <c r="D91" s="17" t="s">
        <v>338</v>
      </c>
      <c r="E91" s="17" t="s">
        <v>339</v>
      </c>
      <c r="F91" s="19" t="s">
        <v>340</v>
      </c>
      <c r="G91" s="19" t="s">
        <v>80</v>
      </c>
      <c r="H91" s="17" t="s">
        <v>102</v>
      </c>
      <c r="I91" s="19" t="s">
        <v>76</v>
      </c>
      <c r="J91" s="17" t="s">
        <v>101</v>
      </c>
      <c r="K91" s="19" t="s">
        <v>63</v>
      </c>
      <c r="L91" s="17" t="s">
        <v>78</v>
      </c>
      <c r="M91" s="17" t="s">
        <v>102</v>
      </c>
      <c r="N91" s="17" t="s">
        <v>65</v>
      </c>
      <c r="O91" s="17">
        <v>580</v>
      </c>
      <c r="P91" s="17" t="s">
        <v>79</v>
      </c>
      <c r="Q91" s="20">
        <f>'[1]FEBE Academics 2024'!R90</f>
        <v>26262</v>
      </c>
      <c r="R91" s="21">
        <f ca="1">YEARFRAC(Q91,TODAY())</f>
        <v>54.694444444444443</v>
      </c>
      <c r="S91" s="20">
        <f>EDATE(Q91,12*65)</f>
        <v>50004</v>
      </c>
      <c r="T91" s="17">
        <v>30000294</v>
      </c>
      <c r="U91" s="17" t="s">
        <v>80</v>
      </c>
      <c r="V91" s="17" t="s">
        <v>81</v>
      </c>
      <c r="W91" s="17" t="s">
        <v>82</v>
      </c>
      <c r="X91" s="22" t="s">
        <v>113</v>
      </c>
      <c r="Y91" s="81" t="e">
        <v>#REF!</v>
      </c>
      <c r="Z91" s="34" t="s">
        <v>0</v>
      </c>
      <c r="AA91" s="34" t="s">
        <v>0</v>
      </c>
      <c r="AB91" s="34" t="s">
        <v>0</v>
      </c>
      <c r="AC91" s="34" t="s">
        <v>0</v>
      </c>
      <c r="AD91" s="34" t="s">
        <v>0</v>
      </c>
      <c r="AE91" s="18" t="s">
        <v>0</v>
      </c>
      <c r="AF91" s="18" t="s">
        <v>0</v>
      </c>
      <c r="AG91" s="18" t="s">
        <v>0</v>
      </c>
      <c r="AH91" s="17" t="s">
        <v>0</v>
      </c>
      <c r="AI91" s="17" t="s">
        <v>0</v>
      </c>
      <c r="AJ91" s="22">
        <v>1</v>
      </c>
      <c r="AK91" s="22">
        <v>1</v>
      </c>
      <c r="AL91" s="22">
        <v>0.67</v>
      </c>
      <c r="AM91" s="82">
        <f>0.3333+0.3333</f>
        <v>0.66659999999999997</v>
      </c>
      <c r="AN91" s="55"/>
      <c r="AO91" s="17" t="s">
        <v>0</v>
      </c>
      <c r="AP91" s="17" t="s">
        <v>0</v>
      </c>
      <c r="AQ91" s="18" t="s">
        <v>1270</v>
      </c>
      <c r="AR91" s="18"/>
      <c r="AS91" s="18" t="s">
        <v>0</v>
      </c>
      <c r="AT91" s="18" t="s">
        <v>0</v>
      </c>
      <c r="AU91" s="18" t="s">
        <v>0</v>
      </c>
      <c r="AV91" s="18" t="s">
        <v>0</v>
      </c>
      <c r="AW91" s="18">
        <v>23</v>
      </c>
      <c r="AX91" s="17">
        <v>10</v>
      </c>
      <c r="AY91" s="17" t="s">
        <v>0</v>
      </c>
      <c r="AZ91" s="17">
        <v>5</v>
      </c>
      <c r="BA91" s="17">
        <v>5</v>
      </c>
      <c r="BB91" s="18" t="s">
        <v>341</v>
      </c>
      <c r="BC91" s="18">
        <v>6</v>
      </c>
      <c r="BD91" s="18">
        <v>1</v>
      </c>
      <c r="BE91" s="18" t="s">
        <v>0</v>
      </c>
      <c r="BF91" s="18" t="s">
        <v>0</v>
      </c>
    </row>
    <row r="92" spans="1:58" ht="17.850000000000001" customHeight="1">
      <c r="A92" s="17" t="s">
        <v>69</v>
      </c>
      <c r="B92" s="17">
        <v>30087174</v>
      </c>
      <c r="C92" s="17" t="s">
        <v>1057</v>
      </c>
      <c r="D92" s="17" t="s">
        <v>1058</v>
      </c>
      <c r="E92" s="17" t="s">
        <v>1059</v>
      </c>
      <c r="F92" s="19" t="s">
        <v>171</v>
      </c>
      <c r="G92" s="19" t="s">
        <v>105</v>
      </c>
      <c r="H92" s="17" t="s">
        <v>60</v>
      </c>
      <c r="I92" s="19" t="s">
        <v>76</v>
      </c>
      <c r="J92" s="17" t="s">
        <v>197</v>
      </c>
      <c r="K92" s="19" t="s">
        <v>63</v>
      </c>
      <c r="L92" s="17" t="s">
        <v>78</v>
      </c>
      <c r="M92" s="17" t="s">
        <v>60</v>
      </c>
      <c r="N92" s="17" t="s">
        <v>198</v>
      </c>
      <c r="O92" s="17">
        <v>580</v>
      </c>
      <c r="P92" s="17" t="s">
        <v>79</v>
      </c>
      <c r="Q92" s="20">
        <f>'[1]FEBE Academics 2024'!R91</f>
        <v>30020</v>
      </c>
      <c r="R92" s="21">
        <f ca="1">YEARFRAC(Q92,TODAY())</f>
        <v>44.402777777777779</v>
      </c>
      <c r="S92" s="20">
        <f>EDATE(Q92,12*65)</f>
        <v>53761</v>
      </c>
      <c r="T92" s="17">
        <v>30000294</v>
      </c>
      <c r="U92" s="17" t="s">
        <v>80</v>
      </c>
      <c r="V92" s="17" t="s">
        <v>81</v>
      </c>
      <c r="W92" s="17" t="s">
        <v>82</v>
      </c>
      <c r="X92" s="22" t="s">
        <v>113</v>
      </c>
      <c r="Y92" s="81" t="e">
        <v>#REF!</v>
      </c>
      <c r="Z92" s="34" t="s">
        <v>0</v>
      </c>
      <c r="AA92" s="34" t="s">
        <v>0</v>
      </c>
      <c r="AB92" s="34" t="s">
        <v>0</v>
      </c>
      <c r="AC92" s="34" t="s">
        <v>0</v>
      </c>
      <c r="AD92" s="34" t="s">
        <v>0</v>
      </c>
      <c r="AE92" s="18" t="s">
        <v>0</v>
      </c>
      <c r="AF92" s="18" t="s">
        <v>0</v>
      </c>
      <c r="AG92" s="18" t="s">
        <v>0</v>
      </c>
      <c r="AH92" s="17" t="s">
        <v>0</v>
      </c>
      <c r="AI92" s="17" t="s">
        <v>0</v>
      </c>
      <c r="AJ92" s="22">
        <v>0.5</v>
      </c>
      <c r="AK92" s="36">
        <v>2.2999999999999998</v>
      </c>
      <c r="AL92" s="22">
        <v>2.63</v>
      </c>
      <c r="AM92" s="82">
        <f>0.5+0.25+0.5+0.3333+0.1667+0.2+0.5+0.5+0.2+0.5+0.1667+0.25+0.25+0.25+0.1667+0.1667+0.1667+0.25+0.357</f>
        <v>5.6738</v>
      </c>
      <c r="AN92" s="55">
        <v>6.4249999999999998</v>
      </c>
      <c r="AO92" s="17" t="s">
        <v>0</v>
      </c>
      <c r="AP92" s="17" t="s">
        <v>0</v>
      </c>
      <c r="AQ92" s="27" t="s">
        <v>1273</v>
      </c>
      <c r="AR92" s="18" t="s">
        <v>200</v>
      </c>
      <c r="AS92" s="18" t="s">
        <v>0</v>
      </c>
      <c r="AT92" s="18" t="s">
        <v>0</v>
      </c>
      <c r="AU92" s="18" t="s">
        <v>0</v>
      </c>
      <c r="AV92" s="18">
        <v>415</v>
      </c>
      <c r="AW92" s="18">
        <v>23</v>
      </c>
      <c r="AX92" s="17">
        <v>10</v>
      </c>
      <c r="AY92" s="17">
        <v>15</v>
      </c>
      <c r="AZ92" s="17">
        <v>14</v>
      </c>
      <c r="BA92" s="17">
        <v>12</v>
      </c>
      <c r="BB92" s="18" t="s">
        <v>1060</v>
      </c>
      <c r="BC92" s="18">
        <v>2</v>
      </c>
      <c r="BD92" s="18">
        <v>2</v>
      </c>
      <c r="BE92" s="18" t="s">
        <v>0</v>
      </c>
      <c r="BF92" s="18" t="s">
        <v>0</v>
      </c>
    </row>
    <row r="93" spans="1:58" s="26" customFormat="1" ht="17.850000000000001" customHeight="1">
      <c r="A93" s="27" t="s">
        <v>54</v>
      </c>
      <c r="B93" s="27">
        <v>30099865</v>
      </c>
      <c r="C93" s="27" t="s">
        <v>969</v>
      </c>
      <c r="D93" s="27" t="s">
        <v>970</v>
      </c>
      <c r="E93" s="27" t="s">
        <v>971</v>
      </c>
      <c r="F93" s="29" t="s">
        <v>63</v>
      </c>
      <c r="G93" s="29" t="s">
        <v>105</v>
      </c>
      <c r="H93" s="27" t="s">
        <v>750</v>
      </c>
      <c r="I93" s="29" t="s">
        <v>76</v>
      </c>
      <c r="J93" s="27" t="s">
        <v>197</v>
      </c>
      <c r="K93" s="29" t="s">
        <v>63</v>
      </c>
      <c r="L93" s="27" t="s">
        <v>78</v>
      </c>
      <c r="M93" s="27" t="s">
        <v>750</v>
      </c>
      <c r="N93" s="27" t="s">
        <v>198</v>
      </c>
      <c r="O93" s="27">
        <v>594</v>
      </c>
      <c r="P93" s="27" t="s">
        <v>170</v>
      </c>
      <c r="Q93" s="30">
        <f>'[1]FEBE Academics 2024'!R92</f>
        <v>28909</v>
      </c>
      <c r="R93" s="31">
        <f ca="1">YEARFRAC(Q93,TODAY())</f>
        <v>47.45</v>
      </c>
      <c r="S93" s="30">
        <f>EDATE(Q93,12*65)</f>
        <v>52650</v>
      </c>
      <c r="T93" s="27">
        <v>30007204</v>
      </c>
      <c r="U93" s="27" t="s">
        <v>59</v>
      </c>
      <c r="V93" s="27" t="s">
        <v>66</v>
      </c>
      <c r="W93" s="27" t="s">
        <v>67</v>
      </c>
      <c r="X93" s="32" t="s">
        <v>108</v>
      </c>
      <c r="Y93" s="146" t="e">
        <v>#REF!</v>
      </c>
      <c r="Z93" s="32" t="s">
        <v>0</v>
      </c>
      <c r="AA93" s="34" t="s">
        <v>0</v>
      </c>
      <c r="AB93" s="34" t="s">
        <v>0</v>
      </c>
      <c r="AC93" s="34" t="s">
        <v>0</v>
      </c>
      <c r="AD93" s="34" t="s">
        <v>0</v>
      </c>
      <c r="AE93" s="18" t="s">
        <v>0</v>
      </c>
      <c r="AF93" s="18" t="s">
        <v>0</v>
      </c>
      <c r="AG93" s="18" t="s">
        <v>0</v>
      </c>
      <c r="AH93" s="17" t="s">
        <v>0</v>
      </c>
      <c r="AI93" s="17" t="s">
        <v>0</v>
      </c>
      <c r="AJ93" s="22">
        <v>1.5</v>
      </c>
      <c r="AK93" s="22">
        <v>1.08</v>
      </c>
      <c r="AL93" s="22">
        <v>0.53</v>
      </c>
      <c r="AM93" s="86">
        <f>0.25+0.5+0.5+0.333+0.5+0.333+0.5</f>
        <v>2.9160000000000004</v>
      </c>
      <c r="AN93" s="112">
        <v>2.1665999999999999</v>
      </c>
      <c r="AO93" s="17" t="s">
        <v>274</v>
      </c>
      <c r="AP93" s="17" t="s">
        <v>0</v>
      </c>
      <c r="AQ93" s="18" t="s">
        <v>1270</v>
      </c>
      <c r="AR93" s="66" t="s">
        <v>275</v>
      </c>
      <c r="AS93" s="18" t="s">
        <v>0</v>
      </c>
      <c r="AT93" s="18" t="s">
        <v>0</v>
      </c>
      <c r="AU93" s="18" t="s">
        <v>0</v>
      </c>
      <c r="AV93" s="18">
        <v>105</v>
      </c>
      <c r="AW93" s="18">
        <v>0</v>
      </c>
      <c r="AX93" s="17">
        <v>13</v>
      </c>
      <c r="AY93" s="17">
        <v>6</v>
      </c>
      <c r="AZ93" s="17">
        <v>8</v>
      </c>
      <c r="BA93" s="17">
        <v>8</v>
      </c>
      <c r="BB93" s="18" t="s">
        <v>972</v>
      </c>
      <c r="BC93" s="18">
        <v>2</v>
      </c>
      <c r="BD93" s="18" t="s">
        <v>0</v>
      </c>
      <c r="BE93" s="18" t="s">
        <v>0</v>
      </c>
      <c r="BF93" s="18" t="s">
        <v>0</v>
      </c>
    </row>
    <row r="94" spans="1:58" ht="17.850000000000001" customHeight="1">
      <c r="A94" s="27" t="s">
        <v>125</v>
      </c>
      <c r="B94" s="27">
        <v>30103079</v>
      </c>
      <c r="C94" s="103" t="s">
        <v>489</v>
      </c>
      <c r="D94" s="27" t="s">
        <v>490</v>
      </c>
      <c r="E94" s="27" t="s">
        <v>491</v>
      </c>
      <c r="F94" s="29" t="s">
        <v>492</v>
      </c>
      <c r="G94" s="29" t="s">
        <v>59</v>
      </c>
      <c r="H94" s="27" t="s">
        <v>493</v>
      </c>
      <c r="I94" s="29" t="s">
        <v>61</v>
      </c>
      <c r="J94" s="27" t="s">
        <v>101</v>
      </c>
      <c r="K94" s="29" t="s">
        <v>63</v>
      </c>
      <c r="L94" s="27" t="s">
        <v>78</v>
      </c>
      <c r="M94" s="27" t="s">
        <v>112</v>
      </c>
      <c r="N94" s="27" t="s">
        <v>494</v>
      </c>
      <c r="O94" s="27">
        <v>143</v>
      </c>
      <c r="P94" s="27" t="s">
        <v>495</v>
      </c>
      <c r="Q94" s="30">
        <v>35282</v>
      </c>
      <c r="R94" s="27"/>
      <c r="S94" s="30"/>
      <c r="T94" s="27">
        <v>30101611</v>
      </c>
      <c r="U94" s="27" t="s">
        <v>105</v>
      </c>
      <c r="V94" s="27" t="s">
        <v>76</v>
      </c>
      <c r="W94" s="27" t="s">
        <v>131</v>
      </c>
      <c r="X94" s="27" t="s">
        <v>496</v>
      </c>
      <c r="Y94" s="91">
        <v>44562</v>
      </c>
      <c r="Z94" s="104" t="s">
        <v>497</v>
      </c>
      <c r="AA94" s="27">
        <v>2024</v>
      </c>
      <c r="AB94" s="27">
        <v>2027</v>
      </c>
      <c r="AC94" s="27" t="s">
        <v>85</v>
      </c>
      <c r="AD94" s="32" t="s">
        <v>238</v>
      </c>
      <c r="AE94" s="27"/>
      <c r="AF94" s="27"/>
      <c r="AG94" s="27"/>
      <c r="AH94" s="27"/>
      <c r="AI94" s="27"/>
      <c r="AJ94" s="27">
        <v>0</v>
      </c>
      <c r="AK94" s="27">
        <v>0</v>
      </c>
      <c r="AL94" s="27">
        <v>0</v>
      </c>
      <c r="AM94" s="31">
        <v>0</v>
      </c>
      <c r="AN94" s="38"/>
      <c r="AO94" s="27"/>
      <c r="AP94" s="27"/>
      <c r="AQ94" s="18" t="s">
        <v>1270</v>
      </c>
      <c r="AR94" s="18"/>
      <c r="AS94" s="27"/>
      <c r="AT94" s="27"/>
      <c r="AU94" s="27"/>
      <c r="AV94" s="27"/>
      <c r="AW94" s="27"/>
      <c r="AX94" s="27">
        <v>0</v>
      </c>
      <c r="AY94" s="27"/>
      <c r="AZ94" s="27"/>
      <c r="BA94" s="27">
        <v>0</v>
      </c>
      <c r="BB94" s="27"/>
      <c r="BC94" s="27"/>
      <c r="BD94" s="27"/>
      <c r="BE94" s="27"/>
      <c r="BF94" s="27"/>
    </row>
    <row r="95" spans="1:58" s="47" customFormat="1" ht="17.850000000000001" customHeight="1">
      <c r="A95" s="17" t="s">
        <v>69</v>
      </c>
      <c r="B95" s="17">
        <v>30088379</v>
      </c>
      <c r="C95" s="17" t="s">
        <v>959</v>
      </c>
      <c r="D95" s="17" t="s">
        <v>960</v>
      </c>
      <c r="E95" s="17" t="s">
        <v>961</v>
      </c>
      <c r="F95" s="19" t="s">
        <v>962</v>
      </c>
      <c r="G95" s="19" t="s">
        <v>74</v>
      </c>
      <c r="H95" s="17" t="s">
        <v>60</v>
      </c>
      <c r="I95" s="19" t="s">
        <v>76</v>
      </c>
      <c r="J95" s="17" t="s">
        <v>62</v>
      </c>
      <c r="K95" s="19" t="s">
        <v>63</v>
      </c>
      <c r="L95" s="17" t="s">
        <v>64</v>
      </c>
      <c r="M95" s="17" t="s">
        <v>60</v>
      </c>
      <c r="N95" s="17" t="s">
        <v>65</v>
      </c>
      <c r="O95" s="17">
        <v>2080</v>
      </c>
      <c r="P95" s="17" t="s">
        <v>153</v>
      </c>
      <c r="Q95" s="20">
        <f>'[1]FEBE Academics 2024'!R96</f>
        <v>33716</v>
      </c>
      <c r="R95" s="21">
        <f ca="1">YEARFRAC(Q95,TODAY())</f>
        <v>34.286111111111111</v>
      </c>
      <c r="S95" s="20">
        <f>EDATE(Q95,12*65)</f>
        <v>57457</v>
      </c>
      <c r="T95" s="17">
        <v>30000294</v>
      </c>
      <c r="U95" s="17" t="s">
        <v>80</v>
      </c>
      <c r="V95" s="17" t="s">
        <v>81</v>
      </c>
      <c r="W95" s="17" t="s">
        <v>82</v>
      </c>
      <c r="X95" s="22" t="s">
        <v>83</v>
      </c>
      <c r="Y95" s="81" t="e">
        <v>#REF!</v>
      </c>
      <c r="Z95" s="22" t="s">
        <v>0</v>
      </c>
      <c r="AA95" s="22" t="s">
        <v>0</v>
      </c>
      <c r="AB95" s="22" t="s">
        <v>0</v>
      </c>
      <c r="AC95" s="22" t="s">
        <v>0</v>
      </c>
      <c r="AD95" s="22" t="s">
        <v>0</v>
      </c>
      <c r="AE95" s="17" t="s">
        <v>0</v>
      </c>
      <c r="AF95" s="17" t="s">
        <v>0</v>
      </c>
      <c r="AG95" s="17" t="s">
        <v>0</v>
      </c>
      <c r="AH95" s="17" t="s">
        <v>0</v>
      </c>
      <c r="AI95" s="17" t="s">
        <v>0</v>
      </c>
      <c r="AJ95" s="22">
        <v>0.5</v>
      </c>
      <c r="AK95" s="22">
        <v>0</v>
      </c>
      <c r="AL95" s="22">
        <v>0</v>
      </c>
      <c r="AM95" s="18">
        <v>0</v>
      </c>
      <c r="AN95" s="17"/>
      <c r="AO95" s="17" t="s">
        <v>0</v>
      </c>
      <c r="AP95" s="17" t="s">
        <v>0</v>
      </c>
      <c r="AQ95" s="62"/>
      <c r="AR95" s="18" t="s">
        <v>1270</v>
      </c>
      <c r="AS95" s="17" t="s">
        <v>0</v>
      </c>
      <c r="AT95" s="17" t="s">
        <v>0</v>
      </c>
      <c r="AU95" s="17" t="s">
        <v>0</v>
      </c>
      <c r="AV95" s="17" t="s">
        <v>0</v>
      </c>
      <c r="AW95" s="18" t="s">
        <v>0</v>
      </c>
      <c r="AX95" s="17">
        <v>0</v>
      </c>
      <c r="AY95" s="17" t="s">
        <v>0</v>
      </c>
      <c r="AZ95" s="17" t="s">
        <v>0</v>
      </c>
      <c r="BA95" s="17">
        <v>0</v>
      </c>
      <c r="BB95" s="17" t="s">
        <v>94</v>
      </c>
      <c r="BC95" s="17" t="s">
        <v>0</v>
      </c>
      <c r="BD95" s="17" t="s">
        <v>0</v>
      </c>
      <c r="BE95" s="18" t="s">
        <v>0</v>
      </c>
      <c r="BF95" s="18" t="s">
        <v>0</v>
      </c>
    </row>
    <row r="96" spans="1:58" ht="17.850000000000001" customHeight="1">
      <c r="A96" s="27" t="s">
        <v>54</v>
      </c>
      <c r="B96" s="27">
        <v>30101178</v>
      </c>
      <c r="C96" s="35" t="s">
        <v>778</v>
      </c>
      <c r="D96" s="27" t="s">
        <v>779</v>
      </c>
      <c r="E96" s="27" t="s">
        <v>780</v>
      </c>
      <c r="F96" s="29" t="s">
        <v>781</v>
      </c>
      <c r="G96" s="29" t="s">
        <v>80</v>
      </c>
      <c r="H96" s="27" t="s">
        <v>782</v>
      </c>
      <c r="I96" s="29" t="s">
        <v>61</v>
      </c>
      <c r="J96" s="27" t="s">
        <v>62</v>
      </c>
      <c r="K96" s="29" t="s">
        <v>63</v>
      </c>
      <c r="L96" s="27" t="s">
        <v>78</v>
      </c>
      <c r="M96" s="27"/>
      <c r="N96" s="27" t="s">
        <v>122</v>
      </c>
      <c r="O96" s="27" t="s">
        <v>311</v>
      </c>
      <c r="P96" s="27" t="s">
        <v>311</v>
      </c>
      <c r="Q96" s="27"/>
      <c r="R96" s="27"/>
      <c r="S96" s="30"/>
      <c r="T96" s="27">
        <v>30007205</v>
      </c>
      <c r="U96" s="27" t="s">
        <v>59</v>
      </c>
      <c r="V96" s="27" t="s">
        <v>66</v>
      </c>
      <c r="W96" s="27" t="s">
        <v>67</v>
      </c>
      <c r="X96" s="27" t="s">
        <v>783</v>
      </c>
      <c r="Y96" s="27"/>
      <c r="Z96" s="27"/>
      <c r="AA96" s="27"/>
      <c r="AB96" s="27"/>
      <c r="AC96" s="27"/>
      <c r="AD96" s="27"/>
      <c r="AE96" s="39"/>
      <c r="AF96" s="39"/>
      <c r="AG96" s="39"/>
      <c r="AH96" s="39"/>
      <c r="AI96" s="39"/>
      <c r="AJ96" s="39">
        <v>0</v>
      </c>
      <c r="AK96" s="39">
        <v>0</v>
      </c>
      <c r="AL96" s="39">
        <v>0</v>
      </c>
      <c r="AM96" s="39">
        <f>0.25+0.333</f>
        <v>0.58299999999999996</v>
      </c>
      <c r="AN96" s="17"/>
      <c r="AO96" s="130"/>
      <c r="AP96" s="39"/>
      <c r="AQ96" s="18" t="s">
        <v>1270</v>
      </c>
      <c r="AR96" s="18"/>
      <c r="AS96" s="39"/>
      <c r="AT96" s="39"/>
      <c r="AU96" s="39"/>
      <c r="AV96" s="39"/>
      <c r="AW96" s="62"/>
      <c r="AX96" s="17">
        <v>13</v>
      </c>
      <c r="AY96" s="17"/>
      <c r="AZ96" s="17"/>
      <c r="BA96" s="39">
        <v>4</v>
      </c>
      <c r="BB96" s="39"/>
      <c r="BC96" s="39"/>
      <c r="BD96" s="39"/>
      <c r="BE96" s="39"/>
      <c r="BF96" s="39"/>
    </row>
    <row r="97" spans="1:58" ht="17.850000000000001" customHeight="1">
      <c r="A97" s="17" t="s">
        <v>217</v>
      </c>
      <c r="B97" s="17">
        <v>30008584</v>
      </c>
      <c r="C97" s="17" t="s">
        <v>690</v>
      </c>
      <c r="D97" s="17" t="s">
        <v>691</v>
      </c>
      <c r="E97" s="17" t="s">
        <v>692</v>
      </c>
      <c r="F97" s="19" t="s">
        <v>693</v>
      </c>
      <c r="G97" s="19" t="s">
        <v>59</v>
      </c>
      <c r="H97" s="17" t="s">
        <v>60</v>
      </c>
      <c r="I97" s="19" t="s">
        <v>61</v>
      </c>
      <c r="J97" s="17" t="s">
        <v>101</v>
      </c>
      <c r="K97" s="19" t="s">
        <v>63</v>
      </c>
      <c r="L97" s="17" t="s">
        <v>222</v>
      </c>
      <c r="M97" s="17" t="s">
        <v>60</v>
      </c>
      <c r="N97" s="17" t="s">
        <v>65</v>
      </c>
      <c r="O97" s="17">
        <v>3010</v>
      </c>
      <c r="P97" s="17" t="s">
        <v>293</v>
      </c>
      <c r="Q97" s="37">
        <f>'[1]FEBE Academics 2024'!R97</f>
        <v>28926</v>
      </c>
      <c r="R97" s="38">
        <f ca="1">YEARFRAC(Q97,TODAY())</f>
        <v>47.397222222222226</v>
      </c>
      <c r="S97" s="37">
        <f>EDATE(Q97,12*65)</f>
        <v>52668</v>
      </c>
      <c r="T97" s="17">
        <v>30007939</v>
      </c>
      <c r="U97" s="17" t="s">
        <v>74</v>
      </c>
      <c r="V97" s="17" t="s">
        <v>223</v>
      </c>
      <c r="W97" s="17" t="s">
        <v>224</v>
      </c>
      <c r="X97" s="22" t="s">
        <v>694</v>
      </c>
      <c r="Y97" s="81" t="e">
        <v>#REF!</v>
      </c>
      <c r="Z97" s="22" t="s">
        <v>0</v>
      </c>
      <c r="AA97" s="22" t="s">
        <v>0</v>
      </c>
      <c r="AB97" s="22" t="s">
        <v>0</v>
      </c>
      <c r="AC97" s="22" t="s">
        <v>0</v>
      </c>
      <c r="AD97" s="22" t="s">
        <v>0</v>
      </c>
      <c r="AE97" s="17" t="s">
        <v>0</v>
      </c>
      <c r="AF97" s="17" t="s">
        <v>0</v>
      </c>
      <c r="AG97" s="17" t="s">
        <v>0</v>
      </c>
      <c r="AH97" s="17" t="s">
        <v>0</v>
      </c>
      <c r="AI97" s="17" t="s">
        <v>0</v>
      </c>
      <c r="AJ97" s="22">
        <v>0.5</v>
      </c>
      <c r="AK97" s="22">
        <v>0</v>
      </c>
      <c r="AL97" s="22">
        <v>0</v>
      </c>
      <c r="AM97" s="17">
        <v>0</v>
      </c>
      <c r="AN97" s="17"/>
      <c r="AO97" s="17" t="s">
        <v>0</v>
      </c>
      <c r="AP97" s="17" t="s">
        <v>0</v>
      </c>
      <c r="AQ97" s="18" t="s">
        <v>1270</v>
      </c>
      <c r="AR97" s="18" t="s">
        <v>1270</v>
      </c>
      <c r="AS97" s="17" t="s">
        <v>0</v>
      </c>
      <c r="AT97" s="17" t="s">
        <v>0</v>
      </c>
      <c r="AU97" s="17" t="s">
        <v>0</v>
      </c>
      <c r="AV97" s="17" t="s">
        <v>0</v>
      </c>
      <c r="AW97" s="18" t="s">
        <v>0</v>
      </c>
      <c r="AX97" s="17">
        <v>0</v>
      </c>
      <c r="AY97" s="17" t="s">
        <v>0</v>
      </c>
      <c r="AZ97" s="17" t="s">
        <v>0</v>
      </c>
      <c r="BA97" s="17">
        <v>0</v>
      </c>
      <c r="BB97" s="17" t="s">
        <v>94</v>
      </c>
      <c r="BC97" s="17" t="s">
        <v>0</v>
      </c>
      <c r="BD97" s="17" t="s">
        <v>0</v>
      </c>
      <c r="BE97" s="17" t="s">
        <v>0</v>
      </c>
      <c r="BF97" s="17" t="s">
        <v>0</v>
      </c>
    </row>
    <row r="98" spans="1:58" ht="17.850000000000001" customHeight="1">
      <c r="A98" s="27" t="s">
        <v>69</v>
      </c>
      <c r="B98" s="27">
        <v>30089305</v>
      </c>
      <c r="C98" s="27" t="s">
        <v>534</v>
      </c>
      <c r="D98" s="27" t="s">
        <v>535</v>
      </c>
      <c r="E98" s="27" t="s">
        <v>536</v>
      </c>
      <c r="F98" s="94" t="s">
        <v>537</v>
      </c>
      <c r="G98" s="94" t="s">
        <v>74</v>
      </c>
      <c r="H98" s="39" t="s">
        <v>75</v>
      </c>
      <c r="I98" s="94" t="s">
        <v>76</v>
      </c>
      <c r="J98" s="39" t="s">
        <v>77</v>
      </c>
      <c r="K98" s="94" t="s">
        <v>63</v>
      </c>
      <c r="L98" s="39" t="s">
        <v>78</v>
      </c>
      <c r="M98" s="39" t="s">
        <v>75</v>
      </c>
      <c r="N98" s="39" t="s">
        <v>65</v>
      </c>
      <c r="O98" s="39">
        <v>580</v>
      </c>
      <c r="P98" s="39" t="s">
        <v>79</v>
      </c>
      <c r="Q98" s="85">
        <f>'[1]FEBE Academics 2024'!R98</f>
        <v>25538</v>
      </c>
      <c r="R98" s="86">
        <f ca="1">YEARFRAC(Q98,TODAY())</f>
        <v>56.677777777777777</v>
      </c>
      <c r="S98" s="85">
        <f>EDATE(Q98,12*65)</f>
        <v>49279</v>
      </c>
      <c r="T98" s="39">
        <v>30000294</v>
      </c>
      <c r="U98" s="39" t="s">
        <v>80</v>
      </c>
      <c r="V98" s="39" t="s">
        <v>81</v>
      </c>
      <c r="W98" s="39" t="s">
        <v>82</v>
      </c>
      <c r="X98" s="43" t="s">
        <v>92</v>
      </c>
      <c r="Y98" s="106">
        <v>2007</v>
      </c>
      <c r="Z98" s="43" t="s">
        <v>0</v>
      </c>
      <c r="AA98" s="43" t="s">
        <v>0</v>
      </c>
      <c r="AB98" s="43" t="s">
        <v>0</v>
      </c>
      <c r="AC98" s="43" t="s">
        <v>0</v>
      </c>
      <c r="AD98" s="43" t="s">
        <v>0</v>
      </c>
      <c r="AE98" s="39" t="s">
        <v>0</v>
      </c>
      <c r="AF98" s="39" t="s">
        <v>0</v>
      </c>
      <c r="AG98" s="39" t="s">
        <v>0</v>
      </c>
      <c r="AH98" s="39" t="s">
        <v>0</v>
      </c>
      <c r="AI98" s="39" t="s">
        <v>0</v>
      </c>
      <c r="AJ98" s="32">
        <v>0.5</v>
      </c>
      <c r="AK98" s="32">
        <v>0</v>
      </c>
      <c r="AL98" s="32">
        <v>0</v>
      </c>
      <c r="AM98" s="27">
        <v>0</v>
      </c>
      <c r="AN98" s="17"/>
      <c r="AO98" s="39" t="s">
        <v>0</v>
      </c>
      <c r="AP98" s="39" t="s">
        <v>0</v>
      </c>
      <c r="AQ98" s="18" t="s">
        <v>1270</v>
      </c>
      <c r="AR98" s="18" t="s">
        <v>1270</v>
      </c>
      <c r="AS98" s="39" t="s">
        <v>0</v>
      </c>
      <c r="AT98" s="39" t="s">
        <v>0</v>
      </c>
      <c r="AU98" s="39" t="s">
        <v>0</v>
      </c>
      <c r="AV98" s="39" t="s">
        <v>0</v>
      </c>
      <c r="AW98" s="18" t="s">
        <v>0</v>
      </c>
      <c r="AX98" s="17">
        <v>0</v>
      </c>
      <c r="AY98" s="17" t="s">
        <v>0</v>
      </c>
      <c r="AZ98" s="17" t="s">
        <v>0</v>
      </c>
      <c r="BA98" s="39">
        <v>2</v>
      </c>
      <c r="BB98" s="39" t="s">
        <v>94</v>
      </c>
      <c r="BC98" s="39" t="s">
        <v>0</v>
      </c>
      <c r="BD98" s="39" t="s">
        <v>0</v>
      </c>
      <c r="BE98" s="39" t="s">
        <v>0</v>
      </c>
      <c r="BF98" s="39" t="s">
        <v>0</v>
      </c>
    </row>
    <row r="99" spans="1:58" ht="17.850000000000001" customHeight="1">
      <c r="A99" s="17" t="s">
        <v>95</v>
      </c>
      <c r="B99" s="17">
        <v>30008669</v>
      </c>
      <c r="C99" s="17" t="s">
        <v>788</v>
      </c>
      <c r="D99" s="17" t="s">
        <v>789</v>
      </c>
      <c r="E99" s="17" t="s">
        <v>790</v>
      </c>
      <c r="F99" s="19" t="s">
        <v>791</v>
      </c>
      <c r="G99" s="19" t="s">
        <v>74</v>
      </c>
      <c r="H99" s="17" t="s">
        <v>60</v>
      </c>
      <c r="I99" s="19" t="s">
        <v>76</v>
      </c>
      <c r="J99" s="17" t="s">
        <v>101</v>
      </c>
      <c r="K99" s="19" t="s">
        <v>63</v>
      </c>
      <c r="L99" s="17" t="s">
        <v>78</v>
      </c>
      <c r="M99" s="17" t="s">
        <v>60</v>
      </c>
      <c r="N99" s="17" t="s">
        <v>65</v>
      </c>
      <c r="O99" s="17">
        <v>1012</v>
      </c>
      <c r="P99" s="17" t="s">
        <v>104</v>
      </c>
      <c r="Q99" s="20">
        <f>'[1]FEBE Academics 2024'!R99</f>
        <v>25492</v>
      </c>
      <c r="R99" s="21">
        <f ca="1">YEARFRAC(Q99,TODAY())</f>
        <v>56.802777777777777</v>
      </c>
      <c r="S99" s="20">
        <f>EDATE(Q99,12*65)</f>
        <v>49233</v>
      </c>
      <c r="T99" s="17">
        <v>30110521</v>
      </c>
      <c r="U99" s="17" t="s">
        <v>105</v>
      </c>
      <c r="V99" s="17" t="s">
        <v>106</v>
      </c>
      <c r="W99" s="17" t="s">
        <v>107</v>
      </c>
      <c r="X99" s="22" t="s">
        <v>333</v>
      </c>
      <c r="Y99" s="81" t="e">
        <v>#REF!</v>
      </c>
      <c r="Z99" s="22" t="s">
        <v>0</v>
      </c>
      <c r="AA99" s="22" t="s">
        <v>0</v>
      </c>
      <c r="AB99" s="22" t="s">
        <v>0</v>
      </c>
      <c r="AC99" s="22" t="s">
        <v>0</v>
      </c>
      <c r="AD99" s="22" t="s">
        <v>0</v>
      </c>
      <c r="AE99" s="17" t="s">
        <v>0</v>
      </c>
      <c r="AF99" s="17" t="s">
        <v>0</v>
      </c>
      <c r="AG99" s="17" t="s">
        <v>0</v>
      </c>
      <c r="AH99" s="17" t="s">
        <v>0</v>
      </c>
      <c r="AI99" s="17" t="s">
        <v>0</v>
      </c>
      <c r="AJ99" s="22">
        <v>0.5</v>
      </c>
      <c r="AK99" s="22">
        <v>0</v>
      </c>
      <c r="AL99" s="22">
        <v>0</v>
      </c>
      <c r="AM99" s="32">
        <v>0</v>
      </c>
      <c r="AN99" s="22"/>
      <c r="AO99" s="17" t="s">
        <v>0</v>
      </c>
      <c r="AP99" s="17" t="s">
        <v>0</v>
      </c>
      <c r="AQ99" s="18" t="s">
        <v>1270</v>
      </c>
      <c r="AR99" s="18"/>
      <c r="AS99" s="17" t="s">
        <v>0</v>
      </c>
      <c r="AT99" s="17" t="s">
        <v>0</v>
      </c>
      <c r="AU99" s="17" t="s">
        <v>0</v>
      </c>
      <c r="AV99" s="17" t="s">
        <v>0</v>
      </c>
      <c r="AW99" s="18" t="s">
        <v>0</v>
      </c>
      <c r="AX99" s="17">
        <v>0</v>
      </c>
      <c r="AY99" s="17" t="s">
        <v>0</v>
      </c>
      <c r="AZ99" s="17" t="s">
        <v>0</v>
      </c>
      <c r="BA99" s="17">
        <v>0</v>
      </c>
      <c r="BB99" s="17" t="s">
        <v>94</v>
      </c>
      <c r="BC99" s="17" t="s">
        <v>0</v>
      </c>
      <c r="BD99" s="17" t="s">
        <v>0</v>
      </c>
      <c r="BE99" s="18" t="s">
        <v>0</v>
      </c>
      <c r="BF99" s="18" t="s">
        <v>0</v>
      </c>
    </row>
    <row r="100" spans="1:58" ht="17.850000000000001" customHeight="1">
      <c r="A100" s="27" t="s">
        <v>69</v>
      </c>
      <c r="B100" s="27">
        <v>30103438</v>
      </c>
      <c r="C100" s="27" t="s">
        <v>1045</v>
      </c>
      <c r="D100" s="27" t="s">
        <v>1046</v>
      </c>
      <c r="E100" s="27" t="s">
        <v>1047</v>
      </c>
      <c r="F100" s="29" t="s">
        <v>1048</v>
      </c>
      <c r="G100" s="29" t="s">
        <v>74</v>
      </c>
      <c r="H100" s="27" t="s">
        <v>60</v>
      </c>
      <c r="I100" s="29" t="s">
        <v>76</v>
      </c>
      <c r="J100" s="27" t="s">
        <v>62</v>
      </c>
      <c r="K100" s="29" t="s">
        <v>120</v>
      </c>
      <c r="L100" s="27" t="s">
        <v>78</v>
      </c>
      <c r="M100" s="27" t="s">
        <v>164</v>
      </c>
      <c r="N100" s="27" t="s">
        <v>281</v>
      </c>
      <c r="O100" s="27"/>
      <c r="P100" s="27"/>
      <c r="Q100" s="122">
        <v>27065</v>
      </c>
      <c r="R100" s="31">
        <f ca="1">YEARFRAC(Q100,TODAY())</f>
        <v>52.5</v>
      </c>
      <c r="S100" s="30">
        <f>EDATE(Q100,12*65)</f>
        <v>50806</v>
      </c>
      <c r="T100" s="27">
        <v>30000294</v>
      </c>
      <c r="U100" s="27" t="s">
        <v>80</v>
      </c>
      <c r="V100" s="27" t="s">
        <v>81</v>
      </c>
      <c r="W100" s="27" t="s">
        <v>82</v>
      </c>
      <c r="X100" s="123" t="s">
        <v>83</v>
      </c>
      <c r="Y100" s="115">
        <v>44562</v>
      </c>
      <c r="Z100" s="27"/>
      <c r="AA100" s="27"/>
      <c r="AB100" s="27"/>
      <c r="AC100" s="27"/>
      <c r="AD100" s="27"/>
      <c r="AE100" s="27"/>
      <c r="AF100" s="27"/>
      <c r="AG100" s="27"/>
      <c r="AH100" s="27"/>
      <c r="AI100" s="27"/>
      <c r="AJ100" s="27"/>
      <c r="AK100" s="27"/>
      <c r="AL100" s="27"/>
      <c r="AM100" s="27"/>
      <c r="AN100" s="17">
        <v>0.16669999999999999</v>
      </c>
      <c r="AO100" s="27"/>
      <c r="AP100" s="27"/>
      <c r="AQ100" s="18" t="s">
        <v>1270</v>
      </c>
      <c r="AR100" s="18" t="s">
        <v>1270</v>
      </c>
      <c r="AS100" s="27"/>
      <c r="AT100" s="27"/>
      <c r="AU100" s="27"/>
      <c r="AV100" s="27"/>
      <c r="AW100" s="27"/>
      <c r="AX100" s="27"/>
      <c r="AY100" s="27"/>
      <c r="AZ100" s="27"/>
      <c r="BA100" s="27"/>
      <c r="BB100" s="27"/>
      <c r="BC100" s="27"/>
      <c r="BD100" s="27"/>
      <c r="BE100" s="27"/>
      <c r="BF100" s="27"/>
    </row>
    <row r="101" spans="1:58" s="47" customFormat="1" ht="17.850000000000001" customHeight="1">
      <c r="A101" s="17" t="s">
        <v>95</v>
      </c>
      <c r="B101" s="17">
        <v>30089335</v>
      </c>
      <c r="C101" s="63" t="s">
        <v>431</v>
      </c>
      <c r="D101" s="17" t="s">
        <v>432</v>
      </c>
      <c r="E101" s="17" t="s">
        <v>433</v>
      </c>
      <c r="F101" s="19" t="s">
        <v>434</v>
      </c>
      <c r="G101" s="19" t="s">
        <v>80</v>
      </c>
      <c r="H101" s="17" t="s">
        <v>60</v>
      </c>
      <c r="I101" s="19" t="s">
        <v>76</v>
      </c>
      <c r="J101" s="17" t="s">
        <v>62</v>
      </c>
      <c r="K101" s="19" t="s">
        <v>120</v>
      </c>
      <c r="L101" s="17" t="s">
        <v>78</v>
      </c>
      <c r="M101" s="17" t="s">
        <v>60</v>
      </c>
      <c r="N101" s="17" t="s">
        <v>281</v>
      </c>
      <c r="O101" s="17" t="s">
        <v>0</v>
      </c>
      <c r="P101" s="17" t="s">
        <v>0</v>
      </c>
      <c r="Q101" s="37">
        <f>'[1]FEBE Academics 2024'!R100</f>
        <v>27550</v>
      </c>
      <c r="R101" s="38">
        <f ca="1">YEARFRAC(Q101,TODAY())</f>
        <v>51.166666666666664</v>
      </c>
      <c r="S101" s="37">
        <f>EDATE(Q101,12*65)</f>
        <v>51292</v>
      </c>
      <c r="T101" s="17">
        <v>30012200</v>
      </c>
      <c r="U101" s="17" t="s">
        <v>74</v>
      </c>
      <c r="V101" s="17" t="s">
        <v>171</v>
      </c>
      <c r="W101" s="17" t="s">
        <v>435</v>
      </c>
      <c r="X101" s="22" t="s">
        <v>154</v>
      </c>
      <c r="Y101" s="81" t="e">
        <v>#REF!</v>
      </c>
      <c r="Z101" s="22" t="s">
        <v>0</v>
      </c>
      <c r="AA101" s="22" t="s">
        <v>0</v>
      </c>
      <c r="AB101" s="22" t="s">
        <v>0</v>
      </c>
      <c r="AC101" s="22" t="s">
        <v>0</v>
      </c>
      <c r="AD101" s="22" t="s">
        <v>0</v>
      </c>
      <c r="AE101" s="17" t="s">
        <v>0</v>
      </c>
      <c r="AF101" s="17" t="s">
        <v>0</v>
      </c>
      <c r="AG101" s="17" t="s">
        <v>0</v>
      </c>
      <c r="AH101" s="17" t="s">
        <v>0</v>
      </c>
      <c r="AI101" s="17" t="s">
        <v>0</v>
      </c>
      <c r="AJ101" s="22">
        <v>0.5</v>
      </c>
      <c r="AK101" s="22">
        <v>0</v>
      </c>
      <c r="AL101" s="22">
        <v>0.33</v>
      </c>
      <c r="AM101" s="22">
        <v>0</v>
      </c>
      <c r="AN101" s="22"/>
      <c r="AO101" s="17" t="s">
        <v>0</v>
      </c>
      <c r="AP101" s="17" t="s">
        <v>0</v>
      </c>
      <c r="AQ101" s="18" t="s">
        <v>1270</v>
      </c>
      <c r="AR101" s="18" t="s">
        <v>1270</v>
      </c>
      <c r="AS101" s="17" t="s">
        <v>0</v>
      </c>
      <c r="AT101" s="17" t="s">
        <v>0</v>
      </c>
      <c r="AU101" s="17" t="s">
        <v>0</v>
      </c>
      <c r="AV101" s="17" t="s">
        <v>0</v>
      </c>
      <c r="AW101" s="39">
        <v>6</v>
      </c>
      <c r="AX101" s="17">
        <v>1</v>
      </c>
      <c r="AY101" s="17" t="s">
        <v>0</v>
      </c>
      <c r="AZ101" s="17">
        <v>8</v>
      </c>
      <c r="BA101" s="17">
        <v>9</v>
      </c>
      <c r="BB101" s="63" t="s">
        <v>436</v>
      </c>
      <c r="BC101" s="17" t="s">
        <v>0</v>
      </c>
      <c r="BD101" s="17" t="s">
        <v>0</v>
      </c>
      <c r="BE101" s="17" t="s">
        <v>0</v>
      </c>
      <c r="BF101" s="17" t="s">
        <v>0</v>
      </c>
    </row>
    <row r="102" spans="1:58" ht="17.850000000000001" customHeight="1">
      <c r="A102" s="18" t="s">
        <v>69</v>
      </c>
      <c r="B102" s="18">
        <v>30097690</v>
      </c>
      <c r="C102" s="64" t="s">
        <v>249</v>
      </c>
      <c r="D102" s="18" t="s">
        <v>250</v>
      </c>
      <c r="E102" s="18" t="s">
        <v>251</v>
      </c>
      <c r="F102" s="19" t="s">
        <v>252</v>
      </c>
      <c r="G102" s="19" t="s">
        <v>80</v>
      </c>
      <c r="H102" s="17" t="s">
        <v>253</v>
      </c>
      <c r="I102" s="19" t="s">
        <v>61</v>
      </c>
      <c r="J102" s="17" t="s">
        <v>62</v>
      </c>
      <c r="K102" s="19" t="s">
        <v>63</v>
      </c>
      <c r="L102" s="17" t="s">
        <v>78</v>
      </c>
      <c r="M102" s="17" t="s">
        <v>253</v>
      </c>
      <c r="N102" s="17" t="s">
        <v>65</v>
      </c>
      <c r="O102" s="17">
        <v>581</v>
      </c>
      <c r="P102" s="17" t="s">
        <v>199</v>
      </c>
      <c r="Q102" s="20">
        <f>'[1]FEBE Academics 2024'!R101</f>
        <v>30486</v>
      </c>
      <c r="R102" s="21">
        <f ca="1">YEARFRAC(Q102,TODAY())</f>
        <v>43.12777777777778</v>
      </c>
      <c r="S102" s="20">
        <f>EDATE(Q102,12*65)</f>
        <v>54228</v>
      </c>
      <c r="T102" s="17">
        <v>30000294</v>
      </c>
      <c r="U102" s="17" t="s">
        <v>80</v>
      </c>
      <c r="V102" s="17" t="s">
        <v>81</v>
      </c>
      <c r="W102" s="17" t="s">
        <v>82</v>
      </c>
      <c r="X102" s="22" t="s">
        <v>142</v>
      </c>
      <c r="Y102" s="23">
        <v>45792</v>
      </c>
      <c r="Z102" s="22" t="s">
        <v>0</v>
      </c>
      <c r="AA102" s="22" t="s">
        <v>0</v>
      </c>
      <c r="AB102" s="22" t="s">
        <v>0</v>
      </c>
      <c r="AC102" s="22" t="s">
        <v>0</v>
      </c>
      <c r="AD102" s="22" t="s">
        <v>0</v>
      </c>
      <c r="AE102" s="17" t="s">
        <v>0</v>
      </c>
      <c r="AF102" s="17" t="s">
        <v>0</v>
      </c>
      <c r="AG102" s="17" t="s">
        <v>0</v>
      </c>
      <c r="AH102" s="17" t="s">
        <v>0</v>
      </c>
      <c r="AI102" s="17" t="s">
        <v>0</v>
      </c>
      <c r="AJ102" s="22">
        <v>0.5</v>
      </c>
      <c r="AK102" s="22">
        <v>0</v>
      </c>
      <c r="AL102" s="22">
        <v>0</v>
      </c>
      <c r="AM102" s="18">
        <v>0</v>
      </c>
      <c r="AN102" s="17"/>
      <c r="AO102" s="17" t="s">
        <v>0</v>
      </c>
      <c r="AP102" s="17" t="s">
        <v>0</v>
      </c>
      <c r="AQ102" s="18" t="s">
        <v>1270</v>
      </c>
      <c r="AR102" s="18"/>
      <c r="AS102" s="17" t="s">
        <v>0</v>
      </c>
      <c r="AT102" s="17" t="s">
        <v>0</v>
      </c>
      <c r="AU102" s="17" t="s">
        <v>0</v>
      </c>
      <c r="AV102" s="17" t="s">
        <v>0</v>
      </c>
      <c r="AW102" s="18" t="s">
        <v>0</v>
      </c>
      <c r="AX102" s="17">
        <v>0</v>
      </c>
      <c r="AY102" s="17" t="s">
        <v>0</v>
      </c>
      <c r="AZ102" s="17" t="s">
        <v>0</v>
      </c>
      <c r="BA102" s="17">
        <v>0</v>
      </c>
      <c r="BB102" s="17" t="s">
        <v>94</v>
      </c>
      <c r="BC102" s="17" t="s">
        <v>0</v>
      </c>
      <c r="BD102" s="17" t="s">
        <v>0</v>
      </c>
      <c r="BE102" s="18" t="s">
        <v>0</v>
      </c>
      <c r="BF102" s="18" t="s">
        <v>0</v>
      </c>
    </row>
    <row r="103" spans="1:58" ht="17.850000000000001" customHeight="1">
      <c r="A103" s="27" t="s">
        <v>217</v>
      </c>
      <c r="B103" s="27">
        <v>30103606</v>
      </c>
      <c r="C103" s="27" t="s">
        <v>1084</v>
      </c>
      <c r="D103" s="27" t="s">
        <v>1085</v>
      </c>
      <c r="E103" s="27" t="s">
        <v>1086</v>
      </c>
      <c r="F103" s="29" t="s">
        <v>1087</v>
      </c>
      <c r="G103" s="29" t="s">
        <v>74</v>
      </c>
      <c r="H103" s="27" t="s">
        <v>1088</v>
      </c>
      <c r="I103" s="29" t="s">
        <v>76</v>
      </c>
      <c r="J103" s="27" t="s">
        <v>62</v>
      </c>
      <c r="K103" s="29" t="s">
        <v>120</v>
      </c>
      <c r="L103" s="27" t="s">
        <v>222</v>
      </c>
      <c r="M103" s="27" t="s">
        <v>1088</v>
      </c>
      <c r="N103" s="27" t="s">
        <v>65</v>
      </c>
      <c r="O103" s="27" t="s">
        <v>0</v>
      </c>
      <c r="P103" s="27" t="s">
        <v>0</v>
      </c>
      <c r="Q103" s="30">
        <f>'[1]FEBE Academics 2024'!R103</f>
        <v>29838</v>
      </c>
      <c r="R103" s="31">
        <f ca="1">YEARFRAC(Q103,TODAY())</f>
        <v>44.905555555555559</v>
      </c>
      <c r="S103" s="30">
        <f>EDATE(Q103,12*65)</f>
        <v>53579</v>
      </c>
      <c r="T103" s="27">
        <v>30007939</v>
      </c>
      <c r="U103" s="27" t="s">
        <v>74</v>
      </c>
      <c r="V103" s="27" t="s">
        <v>223</v>
      </c>
      <c r="W103" s="27" t="s">
        <v>224</v>
      </c>
      <c r="X103" s="32" t="s">
        <v>1089</v>
      </c>
      <c r="Y103" s="149" t="s">
        <v>0</v>
      </c>
      <c r="Z103" s="32" t="s">
        <v>0</v>
      </c>
      <c r="AA103" s="32" t="s">
        <v>0</v>
      </c>
      <c r="AB103" s="32" t="s">
        <v>0</v>
      </c>
      <c r="AC103" s="32" t="s">
        <v>0</v>
      </c>
      <c r="AD103" s="32" t="s">
        <v>0</v>
      </c>
      <c r="AE103" s="27" t="s">
        <v>0</v>
      </c>
      <c r="AF103" s="27" t="s">
        <v>0</v>
      </c>
      <c r="AG103" s="27" t="s">
        <v>0</v>
      </c>
      <c r="AH103" s="27" t="s">
        <v>0</v>
      </c>
      <c r="AI103" s="27" t="s">
        <v>0</v>
      </c>
      <c r="AJ103" s="32">
        <v>0.5</v>
      </c>
      <c r="AK103" s="32">
        <v>0</v>
      </c>
      <c r="AL103" s="32">
        <v>0</v>
      </c>
      <c r="AM103" s="27">
        <v>0</v>
      </c>
      <c r="AN103" s="17"/>
      <c r="AO103" s="27" t="s">
        <v>0</v>
      </c>
      <c r="AP103" s="27" t="s">
        <v>0</v>
      </c>
      <c r="AQ103" s="62"/>
      <c r="AR103" s="18" t="s">
        <v>1270</v>
      </c>
      <c r="AS103" s="27" t="s">
        <v>0</v>
      </c>
      <c r="AT103" s="27" t="s">
        <v>0</v>
      </c>
      <c r="AU103" s="27" t="s">
        <v>0</v>
      </c>
      <c r="AV103" s="27" t="s">
        <v>0</v>
      </c>
      <c r="AW103" s="27" t="s">
        <v>0</v>
      </c>
      <c r="AX103" s="27">
        <v>0</v>
      </c>
      <c r="AY103" s="27" t="s">
        <v>0</v>
      </c>
      <c r="AZ103" s="27" t="s">
        <v>0</v>
      </c>
      <c r="BA103" s="27">
        <v>0</v>
      </c>
      <c r="BB103" s="27" t="s">
        <v>94</v>
      </c>
      <c r="BC103" s="27" t="s">
        <v>0</v>
      </c>
      <c r="BD103" s="27" t="s">
        <v>0</v>
      </c>
      <c r="BE103" s="27" t="s">
        <v>0</v>
      </c>
      <c r="BF103" s="27" t="s">
        <v>0</v>
      </c>
    </row>
    <row r="104" spans="1:58" s="26" customFormat="1" ht="17.850000000000001" customHeight="1">
      <c r="A104" s="18" t="s">
        <v>125</v>
      </c>
      <c r="B104" s="18">
        <v>30108941</v>
      </c>
      <c r="C104" s="18" t="s">
        <v>907</v>
      </c>
      <c r="D104" s="18" t="s">
        <v>908</v>
      </c>
      <c r="E104" s="18" t="s">
        <v>909</v>
      </c>
      <c r="F104" s="19" t="s">
        <v>910</v>
      </c>
      <c r="G104" s="19" t="s">
        <v>80</v>
      </c>
      <c r="H104" s="17" t="s">
        <v>911</v>
      </c>
      <c r="I104" s="19" t="s">
        <v>76</v>
      </c>
      <c r="J104" s="17" t="s">
        <v>62</v>
      </c>
      <c r="K104" s="19" t="s">
        <v>120</v>
      </c>
      <c r="L104" s="17" t="s">
        <v>78</v>
      </c>
      <c r="M104" s="17" t="s">
        <v>911</v>
      </c>
      <c r="N104" s="17" t="s">
        <v>65</v>
      </c>
      <c r="O104" s="17" t="s">
        <v>0</v>
      </c>
      <c r="P104" s="17" t="s">
        <v>0</v>
      </c>
      <c r="Q104" s="20">
        <f>'[1]FEBE Academics 2024'!R104</f>
        <v>31147</v>
      </c>
      <c r="R104" s="21">
        <f ca="1">YEARFRAC(Q104,TODAY())</f>
        <v>41.319444444444443</v>
      </c>
      <c r="S104" s="20">
        <f>EDATE(Q104,12*65)</f>
        <v>54888</v>
      </c>
      <c r="T104" s="17">
        <v>30101611</v>
      </c>
      <c r="U104" s="17" t="s">
        <v>105</v>
      </c>
      <c r="V104" s="17" t="s">
        <v>76</v>
      </c>
      <c r="W104" s="17" t="s">
        <v>131</v>
      </c>
      <c r="X104" s="22" t="s">
        <v>912</v>
      </c>
      <c r="Y104" s="23">
        <v>46015</v>
      </c>
      <c r="Z104" s="22" t="s">
        <v>133</v>
      </c>
      <c r="AA104" s="22" t="s">
        <v>133</v>
      </c>
      <c r="AB104" s="22" t="s">
        <v>133</v>
      </c>
      <c r="AC104" s="22" t="s">
        <v>133</v>
      </c>
      <c r="AD104" s="22" t="s">
        <v>133</v>
      </c>
      <c r="AE104" s="34" t="s">
        <v>133</v>
      </c>
      <c r="AF104" s="17" t="s">
        <v>0</v>
      </c>
      <c r="AG104" s="17" t="s">
        <v>0</v>
      </c>
      <c r="AH104" s="17" t="s">
        <v>0</v>
      </c>
      <c r="AI104" s="17" t="s">
        <v>0</v>
      </c>
      <c r="AJ104" s="22">
        <v>0.5</v>
      </c>
      <c r="AK104" s="22">
        <v>0</v>
      </c>
      <c r="AL104" s="22">
        <v>0</v>
      </c>
      <c r="AM104" s="25">
        <v>0</v>
      </c>
      <c r="AN104" s="75">
        <v>0.22220000000000001</v>
      </c>
      <c r="AO104" s="17" t="s">
        <v>0</v>
      </c>
      <c r="AP104" s="17" t="s">
        <v>0</v>
      </c>
      <c r="AQ104" s="196"/>
      <c r="AR104" s="18" t="s">
        <v>1270</v>
      </c>
      <c r="AS104" s="17" t="s">
        <v>0</v>
      </c>
      <c r="AT104" s="17" t="s">
        <v>0</v>
      </c>
      <c r="AU104" s="17" t="s">
        <v>0</v>
      </c>
      <c r="AV104" s="17" t="s">
        <v>0</v>
      </c>
      <c r="AW104" s="18">
        <v>26</v>
      </c>
      <c r="AX104" s="17">
        <v>22</v>
      </c>
      <c r="AY104" s="17" t="s">
        <v>0</v>
      </c>
      <c r="AZ104" s="17">
        <v>6</v>
      </c>
      <c r="BA104" s="17">
        <v>8</v>
      </c>
      <c r="BB104" s="17" t="s">
        <v>94</v>
      </c>
      <c r="BC104" s="17" t="s">
        <v>0</v>
      </c>
      <c r="BD104" s="17" t="s">
        <v>0</v>
      </c>
      <c r="BE104" s="18" t="s">
        <v>0</v>
      </c>
      <c r="BF104" s="18" t="s">
        <v>0</v>
      </c>
    </row>
    <row r="105" spans="1:58" ht="17.850000000000001" customHeight="1">
      <c r="A105" s="17" t="s">
        <v>115</v>
      </c>
      <c r="B105" s="17">
        <v>30102055</v>
      </c>
      <c r="C105" s="35" t="s">
        <v>678</v>
      </c>
      <c r="D105" s="17" t="s">
        <v>679</v>
      </c>
      <c r="E105" s="17" t="s">
        <v>680</v>
      </c>
      <c r="F105" s="19" t="s">
        <v>434</v>
      </c>
      <c r="G105" s="19" t="s">
        <v>105</v>
      </c>
      <c r="H105" s="17" t="s">
        <v>196</v>
      </c>
      <c r="I105" s="19" t="s">
        <v>76</v>
      </c>
      <c r="J105" s="17" t="s">
        <v>62</v>
      </c>
      <c r="K105" s="19" t="s">
        <v>63</v>
      </c>
      <c r="L105" s="17" t="s">
        <v>78</v>
      </c>
      <c r="M105" s="17" t="s">
        <v>196</v>
      </c>
      <c r="N105" s="17" t="s">
        <v>65</v>
      </c>
      <c r="O105" s="17">
        <v>110</v>
      </c>
      <c r="P105" s="17" t="s">
        <v>380</v>
      </c>
      <c r="Q105" s="20">
        <f>'[1]FEBE Academics 2024'!R105</f>
        <v>26665</v>
      </c>
      <c r="R105" s="21">
        <f ca="1">YEARFRAC(Q105,TODAY())</f>
        <v>53.594444444444441</v>
      </c>
      <c r="S105" s="20">
        <f>EDATE(Q105,12*65)</f>
        <v>50406</v>
      </c>
      <c r="T105" s="17">
        <v>30097178</v>
      </c>
      <c r="U105" s="17" t="s">
        <v>105</v>
      </c>
      <c r="V105" s="17" t="s">
        <v>66</v>
      </c>
      <c r="W105" s="17" t="s">
        <v>123</v>
      </c>
      <c r="X105" s="22" t="s">
        <v>142</v>
      </c>
      <c r="Y105" s="23">
        <v>45735</v>
      </c>
      <c r="Z105" s="22"/>
      <c r="AA105" s="22" t="s">
        <v>0</v>
      </c>
      <c r="AB105" s="22" t="s">
        <v>0</v>
      </c>
      <c r="AC105" s="22" t="s">
        <v>0</v>
      </c>
      <c r="AD105" s="22" t="s">
        <v>0</v>
      </c>
      <c r="AE105" s="17" t="s">
        <v>0</v>
      </c>
      <c r="AF105" s="17" t="s">
        <v>0</v>
      </c>
      <c r="AG105" s="17" t="s">
        <v>0</v>
      </c>
      <c r="AH105" s="17" t="s">
        <v>0</v>
      </c>
      <c r="AI105" s="17" t="s">
        <v>0</v>
      </c>
      <c r="AJ105" s="22">
        <v>1.5</v>
      </c>
      <c r="AK105" s="36">
        <v>0.33</v>
      </c>
      <c r="AL105" s="22">
        <v>1.56</v>
      </c>
      <c r="AM105" s="43">
        <f>0.5</f>
        <v>0.5</v>
      </c>
      <c r="AN105" s="22">
        <v>0.63629999999999998</v>
      </c>
      <c r="AO105" s="17" t="s">
        <v>0</v>
      </c>
      <c r="AP105" s="17" t="s">
        <v>0</v>
      </c>
      <c r="AQ105" s="18" t="s">
        <v>1270</v>
      </c>
      <c r="AR105" s="18" t="s">
        <v>1270</v>
      </c>
      <c r="AS105" s="17" t="s">
        <v>0</v>
      </c>
      <c r="AT105" s="17" t="s">
        <v>0</v>
      </c>
      <c r="AU105" s="17" t="s">
        <v>0</v>
      </c>
      <c r="AV105" s="17" t="s">
        <v>0</v>
      </c>
      <c r="AW105" s="18">
        <v>4</v>
      </c>
      <c r="AX105" s="17">
        <v>11</v>
      </c>
      <c r="AY105" s="17" t="s">
        <v>0</v>
      </c>
      <c r="AZ105" s="17">
        <v>0</v>
      </c>
      <c r="BA105" s="17">
        <v>5</v>
      </c>
      <c r="BB105" s="121" t="s">
        <v>94</v>
      </c>
      <c r="BC105" s="17" t="s">
        <v>0</v>
      </c>
      <c r="BD105" s="17" t="s">
        <v>0</v>
      </c>
      <c r="BE105" s="18" t="s">
        <v>0</v>
      </c>
      <c r="BF105" s="18" t="s">
        <v>0</v>
      </c>
    </row>
    <row r="106" spans="1:58" ht="17.850000000000001" customHeight="1">
      <c r="A106" s="17" t="s">
        <v>125</v>
      </c>
      <c r="B106" s="17">
        <v>30012328</v>
      </c>
      <c r="C106" s="18" t="s">
        <v>1116</v>
      </c>
      <c r="D106" s="17" t="s">
        <v>1117</v>
      </c>
      <c r="E106" s="17" t="s">
        <v>1118</v>
      </c>
      <c r="F106" s="19" t="s">
        <v>1119</v>
      </c>
      <c r="G106" s="19" t="s">
        <v>74</v>
      </c>
      <c r="H106" s="17" t="s">
        <v>60</v>
      </c>
      <c r="I106" s="19" t="s">
        <v>76</v>
      </c>
      <c r="J106" s="17" t="s">
        <v>62</v>
      </c>
      <c r="K106" s="19" t="s">
        <v>63</v>
      </c>
      <c r="L106" s="17" t="s">
        <v>78</v>
      </c>
      <c r="M106" s="17" t="s">
        <v>60</v>
      </c>
      <c r="N106" s="17" t="s">
        <v>373</v>
      </c>
      <c r="O106" s="17">
        <v>119</v>
      </c>
      <c r="P106" s="17" t="s">
        <v>394</v>
      </c>
      <c r="Q106" s="20">
        <f>'[1]FEBE Academics 2024'!R163</f>
        <v>24120</v>
      </c>
      <c r="R106" s="21">
        <f ca="1">YEARFRAC(Q106,TODAY())</f>
        <v>60.56111111111111</v>
      </c>
      <c r="S106" s="20">
        <f>EDATE(Q106,12*65)</f>
        <v>47861</v>
      </c>
      <c r="T106" s="17">
        <v>30101611</v>
      </c>
      <c r="U106" s="17" t="s">
        <v>105</v>
      </c>
      <c r="V106" s="17" t="s">
        <v>76</v>
      </c>
      <c r="W106" s="17" t="s">
        <v>131</v>
      </c>
      <c r="X106" s="22" t="s">
        <v>522</v>
      </c>
      <c r="Y106" s="23">
        <v>33756</v>
      </c>
      <c r="Z106" s="34" t="s">
        <v>133</v>
      </c>
      <c r="AA106" s="34" t="s">
        <v>133</v>
      </c>
      <c r="AB106" s="34" t="s">
        <v>133</v>
      </c>
      <c r="AC106" s="34" t="s">
        <v>133</v>
      </c>
      <c r="AD106" s="116" t="s">
        <v>1120</v>
      </c>
      <c r="AE106" s="18" t="s">
        <v>0</v>
      </c>
      <c r="AF106" s="18" t="s">
        <v>0</v>
      </c>
      <c r="AG106" s="18" t="s">
        <v>0</v>
      </c>
      <c r="AH106" s="17" t="s">
        <v>0</v>
      </c>
      <c r="AI106" s="17" t="s">
        <v>0</v>
      </c>
      <c r="AJ106" s="22">
        <v>0.5</v>
      </c>
      <c r="AK106" s="22">
        <v>0</v>
      </c>
      <c r="AL106" s="22">
        <v>0</v>
      </c>
      <c r="AM106" s="152">
        <v>0.33300000000000002</v>
      </c>
      <c r="AN106" s="112">
        <v>0.33329999999999999</v>
      </c>
      <c r="AO106" s="17" t="s">
        <v>0</v>
      </c>
      <c r="AP106" s="17" t="s">
        <v>0</v>
      </c>
      <c r="AQ106" s="62"/>
      <c r="AR106" s="18" t="s">
        <v>1270</v>
      </c>
      <c r="AS106" s="18" t="s">
        <v>0</v>
      </c>
      <c r="AT106" s="18" t="s">
        <v>0</v>
      </c>
      <c r="AU106" s="18" t="s">
        <v>0</v>
      </c>
      <c r="AV106" s="18">
        <v>801</v>
      </c>
      <c r="AW106" s="18" t="s">
        <v>0</v>
      </c>
      <c r="AX106" s="17">
        <v>0</v>
      </c>
      <c r="AY106" s="17">
        <v>0</v>
      </c>
      <c r="AZ106" s="17">
        <v>0</v>
      </c>
      <c r="BA106" s="17">
        <v>0</v>
      </c>
      <c r="BB106" s="18" t="s">
        <v>1121</v>
      </c>
      <c r="BC106" s="18" t="s">
        <v>0</v>
      </c>
      <c r="BD106" s="18" t="s">
        <v>0</v>
      </c>
      <c r="BE106" s="18" t="s">
        <v>0</v>
      </c>
      <c r="BF106" s="18" t="s">
        <v>0</v>
      </c>
    </row>
    <row r="107" spans="1:58" s="47" customFormat="1" ht="17.850000000000001" customHeight="1">
      <c r="A107" s="17" t="s">
        <v>69</v>
      </c>
      <c r="B107" s="17">
        <v>30105410</v>
      </c>
      <c r="C107" s="17" t="s">
        <v>1064</v>
      </c>
      <c r="D107" s="17" t="s">
        <v>1065</v>
      </c>
      <c r="E107" s="17" t="s">
        <v>1066</v>
      </c>
      <c r="F107" s="19" t="s">
        <v>1067</v>
      </c>
      <c r="G107" s="19" t="s">
        <v>74</v>
      </c>
      <c r="H107" s="17" t="s">
        <v>60</v>
      </c>
      <c r="I107" s="19" t="s">
        <v>76</v>
      </c>
      <c r="J107" s="17" t="s">
        <v>62</v>
      </c>
      <c r="K107" s="19" t="s">
        <v>63</v>
      </c>
      <c r="L107" s="17" t="s">
        <v>78</v>
      </c>
      <c r="M107" s="17" t="s">
        <v>60</v>
      </c>
      <c r="N107" s="17" t="s">
        <v>65</v>
      </c>
      <c r="O107" s="17">
        <v>580</v>
      </c>
      <c r="P107" s="17" t="s">
        <v>79</v>
      </c>
      <c r="Q107" s="20">
        <f>'[1]FEBE Academics 2024'!R106</f>
        <v>31299</v>
      </c>
      <c r="R107" s="21">
        <f ca="1">YEARFRAC(Q107,TODAY())</f>
        <v>40.905555555555559</v>
      </c>
      <c r="S107" s="20">
        <f>EDATE(Q107,12*65)</f>
        <v>55040</v>
      </c>
      <c r="T107" s="17">
        <v>30000294</v>
      </c>
      <c r="U107" s="17" t="s">
        <v>80</v>
      </c>
      <c r="V107" s="17" t="s">
        <v>81</v>
      </c>
      <c r="W107" s="17" t="s">
        <v>82</v>
      </c>
      <c r="X107" s="22" t="s">
        <v>83</v>
      </c>
      <c r="Y107" s="23">
        <v>46005</v>
      </c>
      <c r="Z107" s="22">
        <v>7</v>
      </c>
      <c r="AA107" s="22" t="s">
        <v>0</v>
      </c>
      <c r="AB107" s="22" t="s">
        <v>0</v>
      </c>
      <c r="AC107" s="22" t="s">
        <v>0</v>
      </c>
      <c r="AD107" s="22" t="s">
        <v>0</v>
      </c>
      <c r="AE107" s="17" t="s">
        <v>0</v>
      </c>
      <c r="AF107" s="17" t="s">
        <v>0</v>
      </c>
      <c r="AG107" s="17" t="s">
        <v>0</v>
      </c>
      <c r="AH107" s="17" t="s">
        <v>0</v>
      </c>
      <c r="AI107" s="17" t="s">
        <v>0</v>
      </c>
      <c r="AJ107" s="22">
        <v>0.5</v>
      </c>
      <c r="AK107" s="22">
        <v>0</v>
      </c>
      <c r="AL107" s="22">
        <v>0</v>
      </c>
      <c r="AM107" s="18">
        <v>0</v>
      </c>
      <c r="AN107" s="17"/>
      <c r="AO107" s="17" t="s">
        <v>0</v>
      </c>
      <c r="AP107" s="17" t="s">
        <v>0</v>
      </c>
      <c r="AQ107" s="62"/>
      <c r="AR107" s="18" t="s">
        <v>1270</v>
      </c>
      <c r="AS107" s="17" t="s">
        <v>0</v>
      </c>
      <c r="AT107" s="17" t="s">
        <v>0</v>
      </c>
      <c r="AU107" s="17" t="s">
        <v>0</v>
      </c>
      <c r="AV107" s="17" t="s">
        <v>0</v>
      </c>
      <c r="AW107" s="18" t="s">
        <v>0</v>
      </c>
      <c r="AX107" s="17">
        <v>0</v>
      </c>
      <c r="AY107" s="17" t="s">
        <v>0</v>
      </c>
      <c r="AZ107" s="17" t="s">
        <v>0</v>
      </c>
      <c r="BA107" s="17">
        <v>0</v>
      </c>
      <c r="BB107" s="17" t="s">
        <v>94</v>
      </c>
      <c r="BC107" s="17" t="s">
        <v>0</v>
      </c>
      <c r="BD107" s="17" t="s">
        <v>0</v>
      </c>
      <c r="BE107" s="18" t="s">
        <v>0</v>
      </c>
      <c r="BF107" s="18" t="s">
        <v>0</v>
      </c>
    </row>
    <row r="108" spans="1:58" s="47" customFormat="1" ht="17.850000000000001" customHeight="1">
      <c r="A108" s="17" t="s">
        <v>95</v>
      </c>
      <c r="B108" s="17">
        <v>30028679</v>
      </c>
      <c r="C108" s="18" t="s">
        <v>351</v>
      </c>
      <c r="D108" s="17" t="s">
        <v>352</v>
      </c>
      <c r="E108" s="17" t="s">
        <v>353</v>
      </c>
      <c r="F108" s="19" t="s">
        <v>354</v>
      </c>
      <c r="G108" s="19" t="s">
        <v>80</v>
      </c>
      <c r="H108" s="17" t="s">
        <v>60</v>
      </c>
      <c r="I108" s="19" t="s">
        <v>76</v>
      </c>
      <c r="J108" s="17" t="s">
        <v>62</v>
      </c>
      <c r="K108" s="19" t="s">
        <v>63</v>
      </c>
      <c r="L108" s="17" t="s">
        <v>78</v>
      </c>
      <c r="M108" s="17" t="s">
        <v>60</v>
      </c>
      <c r="N108" s="17" t="s">
        <v>355</v>
      </c>
      <c r="O108" s="17">
        <v>1012</v>
      </c>
      <c r="P108" s="17" t="s">
        <v>104</v>
      </c>
      <c r="Q108" s="20">
        <f>'[1]FEBE Academics 2024'!R107</f>
        <v>27671</v>
      </c>
      <c r="R108" s="21">
        <f ca="1">YEARFRAC(Q108,TODAY())</f>
        <v>50.836111111111109</v>
      </c>
      <c r="S108" s="20">
        <f>EDATE(Q108,12*65)</f>
        <v>51413</v>
      </c>
      <c r="T108" s="17">
        <v>30110521</v>
      </c>
      <c r="U108" s="17" t="s">
        <v>105</v>
      </c>
      <c r="V108" s="17" t="s">
        <v>106</v>
      </c>
      <c r="W108" s="17" t="s">
        <v>107</v>
      </c>
      <c r="X108" s="34" t="s">
        <v>356</v>
      </c>
      <c r="Y108" s="23">
        <v>45972</v>
      </c>
      <c r="Z108" s="39"/>
      <c r="AA108" s="43" t="s">
        <v>0</v>
      </c>
      <c r="AB108" s="34">
        <v>2025</v>
      </c>
      <c r="AC108" s="34" t="s">
        <v>85</v>
      </c>
      <c r="AD108" s="34" t="s">
        <v>357</v>
      </c>
      <c r="AE108" s="83">
        <v>45069</v>
      </c>
      <c r="AF108" s="84" t="s">
        <v>358</v>
      </c>
      <c r="AG108" s="18" t="s">
        <v>0</v>
      </c>
      <c r="AH108" s="17" t="s">
        <v>0</v>
      </c>
      <c r="AI108" s="17" t="s">
        <v>0</v>
      </c>
      <c r="AJ108" s="22">
        <v>0.5</v>
      </c>
      <c r="AK108" s="22">
        <v>0</v>
      </c>
      <c r="AL108" s="22">
        <v>0.33</v>
      </c>
      <c r="AM108" s="43">
        <v>0.25</v>
      </c>
      <c r="AN108" s="22"/>
      <c r="AO108" s="17" t="s">
        <v>0</v>
      </c>
      <c r="AP108" s="17" t="s">
        <v>0</v>
      </c>
      <c r="AQ108" s="18" t="s">
        <v>1270</v>
      </c>
      <c r="AR108" s="18"/>
      <c r="AS108" s="18" t="s">
        <v>0</v>
      </c>
      <c r="AT108" s="18" t="s">
        <v>0</v>
      </c>
      <c r="AU108" s="18" t="s">
        <v>0</v>
      </c>
      <c r="AV108" s="18">
        <v>7</v>
      </c>
      <c r="AW108" s="18">
        <v>0</v>
      </c>
      <c r="AX108" s="17">
        <v>1</v>
      </c>
      <c r="AY108" s="17">
        <v>2</v>
      </c>
      <c r="AZ108" s="17">
        <v>2</v>
      </c>
      <c r="BA108" s="17">
        <v>2</v>
      </c>
      <c r="BB108" s="18" t="s">
        <v>359</v>
      </c>
      <c r="BC108" s="18">
        <v>1</v>
      </c>
      <c r="BD108" s="18" t="s">
        <v>0</v>
      </c>
      <c r="BE108" s="18" t="s">
        <v>0</v>
      </c>
      <c r="BF108" s="18" t="s">
        <v>0</v>
      </c>
    </row>
    <row r="109" spans="1:58" ht="17.850000000000001" customHeight="1">
      <c r="A109" s="27" t="s">
        <v>226</v>
      </c>
      <c r="B109" s="27">
        <v>30095997</v>
      </c>
      <c r="C109" s="58" t="s">
        <v>227</v>
      </c>
      <c r="D109" s="27" t="s">
        <v>228</v>
      </c>
      <c r="E109" s="27" t="s">
        <v>229</v>
      </c>
      <c r="F109" s="29" t="s">
        <v>66</v>
      </c>
      <c r="G109" s="29" t="s">
        <v>59</v>
      </c>
      <c r="H109" s="27" t="s">
        <v>60</v>
      </c>
      <c r="I109" s="19" t="s">
        <v>61</v>
      </c>
      <c r="J109" s="17" t="s">
        <v>62</v>
      </c>
      <c r="K109" s="19" t="s">
        <v>120</v>
      </c>
      <c r="L109" s="17" t="s">
        <v>64</v>
      </c>
      <c r="M109" s="17" t="s">
        <v>60</v>
      </c>
      <c r="N109" s="17" t="s">
        <v>65</v>
      </c>
      <c r="O109" s="17">
        <v>2080</v>
      </c>
      <c r="P109" s="17" t="s">
        <v>153</v>
      </c>
      <c r="Q109" s="20"/>
      <c r="R109" s="21"/>
      <c r="S109" s="20"/>
      <c r="T109" s="17">
        <v>30007939</v>
      </c>
      <c r="U109" s="17" t="s">
        <v>74</v>
      </c>
      <c r="V109" s="17" t="s">
        <v>223</v>
      </c>
      <c r="W109" s="17" t="s">
        <v>224</v>
      </c>
      <c r="X109" s="22" t="s">
        <v>230</v>
      </c>
      <c r="Y109" s="59">
        <v>2019</v>
      </c>
      <c r="Z109" s="22" t="s">
        <v>231</v>
      </c>
      <c r="AA109" s="22">
        <v>2022</v>
      </c>
      <c r="AB109" s="22">
        <v>2025</v>
      </c>
      <c r="AC109" s="22" t="s">
        <v>85</v>
      </c>
      <c r="AD109" s="22" t="s">
        <v>0</v>
      </c>
      <c r="AE109" s="17" t="s">
        <v>0</v>
      </c>
      <c r="AF109" s="17" t="s">
        <v>0</v>
      </c>
      <c r="AG109" s="17" t="s">
        <v>0</v>
      </c>
      <c r="AH109" s="17" t="s">
        <v>0</v>
      </c>
      <c r="AI109" s="17" t="s">
        <v>0</v>
      </c>
      <c r="AJ109" s="22">
        <v>0.5</v>
      </c>
      <c r="AK109" s="22">
        <v>0</v>
      </c>
      <c r="AL109" s="22">
        <v>0</v>
      </c>
      <c r="AM109" s="18">
        <v>0</v>
      </c>
      <c r="AN109" s="17"/>
      <c r="AO109" s="17" t="s">
        <v>0</v>
      </c>
      <c r="AP109" s="17" t="s">
        <v>0</v>
      </c>
      <c r="AQ109" s="18" t="s">
        <v>1270</v>
      </c>
      <c r="AR109" s="18"/>
      <c r="AS109" s="17" t="s">
        <v>0</v>
      </c>
      <c r="AT109" s="17" t="s">
        <v>0</v>
      </c>
      <c r="AU109" s="17" t="s">
        <v>0</v>
      </c>
      <c r="AV109" s="17" t="s">
        <v>0</v>
      </c>
      <c r="AW109" s="18" t="s">
        <v>0</v>
      </c>
      <c r="AX109" s="17">
        <v>0</v>
      </c>
      <c r="AY109" s="17" t="s">
        <v>0</v>
      </c>
      <c r="AZ109" s="17" t="s">
        <v>0</v>
      </c>
      <c r="BA109" s="17">
        <v>0</v>
      </c>
      <c r="BB109" s="17" t="s">
        <v>94</v>
      </c>
      <c r="BC109" s="17" t="s">
        <v>0</v>
      </c>
      <c r="BD109" s="17" t="s">
        <v>0</v>
      </c>
      <c r="BE109" s="18" t="s">
        <v>0</v>
      </c>
      <c r="BF109" s="18" t="s">
        <v>0</v>
      </c>
    </row>
    <row r="110" spans="1:58" ht="17.850000000000001" customHeight="1">
      <c r="A110" s="17" t="s">
        <v>95</v>
      </c>
      <c r="B110" s="17">
        <v>30009077</v>
      </c>
      <c r="C110" s="17" t="s">
        <v>1053</v>
      </c>
      <c r="D110" s="17" t="s">
        <v>1054</v>
      </c>
      <c r="E110" s="17" t="s">
        <v>1055</v>
      </c>
      <c r="F110" s="19" t="s">
        <v>1056</v>
      </c>
      <c r="G110" s="19" t="s">
        <v>74</v>
      </c>
      <c r="H110" s="17" t="s">
        <v>60</v>
      </c>
      <c r="I110" s="19" t="s">
        <v>76</v>
      </c>
      <c r="J110" s="17" t="s">
        <v>62</v>
      </c>
      <c r="K110" s="19" t="s">
        <v>63</v>
      </c>
      <c r="L110" s="17" t="s">
        <v>78</v>
      </c>
      <c r="M110" s="17" t="s">
        <v>60</v>
      </c>
      <c r="N110" s="17" t="s">
        <v>65</v>
      </c>
      <c r="O110" s="17">
        <v>1012</v>
      </c>
      <c r="P110" s="17" t="s">
        <v>104</v>
      </c>
      <c r="Q110" s="20">
        <f>'[1]FEBE Academics 2024'!R109</f>
        <v>27049</v>
      </c>
      <c r="R110" s="21">
        <f ca="1">YEARFRAC(Q110,TODAY())</f>
        <v>52.541666666666664</v>
      </c>
      <c r="S110" s="20">
        <f>EDATE(Q110,12*65)</f>
        <v>50790</v>
      </c>
      <c r="T110" s="17">
        <v>30110521</v>
      </c>
      <c r="U110" s="17" t="s">
        <v>105</v>
      </c>
      <c r="V110" s="17" t="s">
        <v>106</v>
      </c>
      <c r="W110" s="17" t="s">
        <v>107</v>
      </c>
      <c r="X110" s="22" t="s">
        <v>591</v>
      </c>
      <c r="Y110" s="23">
        <v>45996</v>
      </c>
      <c r="Z110" s="22">
        <v>1</v>
      </c>
      <c r="AA110" s="22" t="s">
        <v>0</v>
      </c>
      <c r="AB110" s="22" t="s">
        <v>0</v>
      </c>
      <c r="AC110" s="22" t="s">
        <v>0</v>
      </c>
      <c r="AD110" s="22" t="s">
        <v>0</v>
      </c>
      <c r="AE110" s="17" t="s">
        <v>0</v>
      </c>
      <c r="AF110" s="17" t="s">
        <v>0</v>
      </c>
      <c r="AG110" s="17" t="s">
        <v>0</v>
      </c>
      <c r="AH110" s="17" t="s">
        <v>0</v>
      </c>
      <c r="AI110" s="17" t="s">
        <v>0</v>
      </c>
      <c r="AJ110" s="22">
        <v>0.5</v>
      </c>
      <c r="AK110" s="22">
        <v>0</v>
      </c>
      <c r="AL110" s="22">
        <v>0</v>
      </c>
      <c r="AM110" s="32">
        <v>0</v>
      </c>
      <c r="AN110" s="22"/>
      <c r="AO110" s="17" t="s">
        <v>0</v>
      </c>
      <c r="AP110" s="17" t="s">
        <v>0</v>
      </c>
      <c r="AQ110" s="27"/>
      <c r="AR110" s="18" t="s">
        <v>1270</v>
      </c>
      <c r="AS110" s="17" t="s">
        <v>0</v>
      </c>
      <c r="AT110" s="17" t="s">
        <v>0</v>
      </c>
      <c r="AU110" s="17" t="s">
        <v>0</v>
      </c>
      <c r="AV110" s="17" t="s">
        <v>0</v>
      </c>
      <c r="AW110" s="18" t="s">
        <v>0</v>
      </c>
      <c r="AX110" s="17">
        <v>0</v>
      </c>
      <c r="AY110" s="17" t="s">
        <v>0</v>
      </c>
      <c r="AZ110" s="17" t="s">
        <v>0</v>
      </c>
      <c r="BA110" s="17">
        <v>0</v>
      </c>
      <c r="BB110" s="17" t="s">
        <v>94</v>
      </c>
      <c r="BC110" s="17" t="s">
        <v>0</v>
      </c>
      <c r="BD110" s="17" t="s">
        <v>0</v>
      </c>
      <c r="BE110" s="18" t="s">
        <v>0</v>
      </c>
      <c r="BF110" s="18" t="s">
        <v>0</v>
      </c>
    </row>
    <row r="111" spans="1:58" ht="17.850000000000001" customHeight="1">
      <c r="A111" s="17" t="s">
        <v>54</v>
      </c>
      <c r="B111" s="17">
        <v>30079005</v>
      </c>
      <c r="C111" s="17" t="s">
        <v>1016</v>
      </c>
      <c r="D111" s="17" t="s">
        <v>1017</v>
      </c>
      <c r="E111" s="17" t="s">
        <v>1018</v>
      </c>
      <c r="F111" s="19" t="s">
        <v>1019</v>
      </c>
      <c r="G111" s="19" t="s">
        <v>74</v>
      </c>
      <c r="H111" s="17" t="s">
        <v>60</v>
      </c>
      <c r="I111" s="19" t="s">
        <v>76</v>
      </c>
      <c r="J111" s="17" t="s">
        <v>62</v>
      </c>
      <c r="K111" s="19" t="s">
        <v>63</v>
      </c>
      <c r="L111" s="17" t="s">
        <v>78</v>
      </c>
      <c r="M111" s="17" t="s">
        <v>60</v>
      </c>
      <c r="N111" s="17" t="s">
        <v>531</v>
      </c>
      <c r="O111" s="17">
        <v>594</v>
      </c>
      <c r="P111" s="17" t="s">
        <v>170</v>
      </c>
      <c r="Q111" s="20">
        <f>'[1]FEBE Academics 2024'!R111</f>
        <v>24884</v>
      </c>
      <c r="R111" s="21">
        <f ca="1">YEARFRAC(Q111,TODAY())</f>
        <v>58.469444444444441</v>
      </c>
      <c r="S111" s="20">
        <f>EDATE(Q111,12*65)</f>
        <v>48626</v>
      </c>
      <c r="T111" s="17">
        <v>30007204</v>
      </c>
      <c r="U111" s="17" t="s">
        <v>59</v>
      </c>
      <c r="V111" s="17" t="s">
        <v>66</v>
      </c>
      <c r="W111" s="17" t="s">
        <v>67</v>
      </c>
      <c r="X111" s="22" t="s">
        <v>1020</v>
      </c>
      <c r="Y111" s="23">
        <v>36130</v>
      </c>
      <c r="Z111" s="17" t="s">
        <v>113</v>
      </c>
      <c r="AA111" s="22" t="s">
        <v>0</v>
      </c>
      <c r="AB111" s="22" t="s">
        <v>0</v>
      </c>
      <c r="AC111" s="22" t="s">
        <v>0</v>
      </c>
      <c r="AD111" s="22" t="s">
        <v>0</v>
      </c>
      <c r="AE111" s="17" t="s">
        <v>0</v>
      </c>
      <c r="AF111" s="17" t="s">
        <v>0</v>
      </c>
      <c r="AG111" s="17" t="s">
        <v>0</v>
      </c>
      <c r="AH111" s="17" t="s">
        <v>0</v>
      </c>
      <c r="AI111" s="17" t="s">
        <v>0</v>
      </c>
      <c r="AJ111" s="22">
        <v>0.5</v>
      </c>
      <c r="AK111" s="22">
        <v>0</v>
      </c>
      <c r="AL111" s="22">
        <v>0</v>
      </c>
      <c r="AM111" s="84">
        <v>1</v>
      </c>
      <c r="AN111" s="55"/>
      <c r="AO111" s="17" t="s">
        <v>0</v>
      </c>
      <c r="AP111" s="17" t="s">
        <v>0</v>
      </c>
      <c r="AQ111" s="62"/>
      <c r="AR111" s="18" t="s">
        <v>1270</v>
      </c>
      <c r="AS111" s="17" t="s">
        <v>0</v>
      </c>
      <c r="AT111" s="17" t="s">
        <v>0</v>
      </c>
      <c r="AU111" s="17" t="s">
        <v>0</v>
      </c>
      <c r="AV111" s="17" t="s">
        <v>0</v>
      </c>
      <c r="AW111" s="18" t="s">
        <v>0</v>
      </c>
      <c r="AX111" s="17">
        <v>0</v>
      </c>
      <c r="AY111" s="17" t="s">
        <v>0</v>
      </c>
      <c r="AZ111" s="17" t="s">
        <v>0</v>
      </c>
      <c r="BA111" s="17">
        <v>0</v>
      </c>
      <c r="BB111" s="17" t="s">
        <v>94</v>
      </c>
      <c r="BC111" s="17" t="s">
        <v>0</v>
      </c>
      <c r="BD111" s="17" t="s">
        <v>0</v>
      </c>
      <c r="BE111" s="18" t="s">
        <v>0</v>
      </c>
      <c r="BF111" s="18" t="s">
        <v>0</v>
      </c>
    </row>
    <row r="112" spans="1:58" ht="17.850000000000001" customHeight="1">
      <c r="A112" s="27" t="s">
        <v>69</v>
      </c>
      <c r="B112" s="27">
        <v>30096316</v>
      </c>
      <c r="C112" s="27" t="s">
        <v>646</v>
      </c>
      <c r="D112" s="27" t="s">
        <v>647</v>
      </c>
      <c r="E112" s="27" t="s">
        <v>648</v>
      </c>
      <c r="F112" s="29" t="s">
        <v>649</v>
      </c>
      <c r="G112" s="29" t="s">
        <v>74</v>
      </c>
      <c r="H112" s="27" t="s">
        <v>60</v>
      </c>
      <c r="I112" s="29" t="s">
        <v>76</v>
      </c>
      <c r="J112" s="27" t="s">
        <v>62</v>
      </c>
      <c r="K112" s="29" t="s">
        <v>120</v>
      </c>
      <c r="L112" s="27" t="s">
        <v>78</v>
      </c>
      <c r="M112" s="27" t="s">
        <v>121</v>
      </c>
      <c r="N112" s="27" t="s">
        <v>281</v>
      </c>
      <c r="O112" s="27">
        <v>581</v>
      </c>
      <c r="P112" s="27" t="s">
        <v>199</v>
      </c>
      <c r="Q112" s="108">
        <v>32965</v>
      </c>
      <c r="R112" s="31">
        <f ca="1">YEARFRAC(Q112,TODAY())</f>
        <v>36.341666666666669</v>
      </c>
      <c r="S112" s="30">
        <f>EDATE(Q112,12*65)</f>
        <v>56706</v>
      </c>
      <c r="T112" s="27">
        <v>30000294</v>
      </c>
      <c r="U112" s="27" t="s">
        <v>105</v>
      </c>
      <c r="V112" s="27" t="s">
        <v>81</v>
      </c>
      <c r="W112" s="27" t="s">
        <v>82</v>
      </c>
      <c r="X112" s="27" t="s">
        <v>92</v>
      </c>
      <c r="Y112" s="115">
        <v>42370</v>
      </c>
      <c r="Z112" s="27"/>
      <c r="AA112" s="27"/>
      <c r="AB112" s="27"/>
      <c r="AC112" s="27"/>
      <c r="AD112" s="27"/>
      <c r="AE112" s="27"/>
      <c r="AF112" s="27"/>
      <c r="AG112" s="27"/>
      <c r="AH112" s="27"/>
      <c r="AI112" s="27"/>
      <c r="AJ112" s="27"/>
      <c r="AK112" s="27"/>
      <c r="AL112" s="27"/>
      <c r="AM112" s="27"/>
      <c r="AN112" s="17"/>
      <c r="AO112" s="27"/>
      <c r="AP112" s="27"/>
      <c r="AQ112" s="62"/>
      <c r="AR112" s="18" t="s">
        <v>1270</v>
      </c>
      <c r="AS112" s="27"/>
      <c r="AT112" s="27"/>
      <c r="AU112" s="27"/>
      <c r="AV112" s="27"/>
      <c r="AW112" s="27"/>
      <c r="AX112" s="27"/>
      <c r="AY112" s="27"/>
      <c r="AZ112" s="27"/>
      <c r="BA112" s="27"/>
      <c r="BB112" s="27"/>
      <c r="BC112" s="27"/>
      <c r="BD112" s="27"/>
      <c r="BE112" s="27"/>
      <c r="BF112" s="27"/>
    </row>
    <row r="113" spans="1:58" ht="17.850000000000001" customHeight="1">
      <c r="A113" s="18" t="s">
        <v>54</v>
      </c>
      <c r="B113" s="18">
        <v>30080035</v>
      </c>
      <c r="C113" s="18" t="s">
        <v>462</v>
      </c>
      <c r="D113" s="18" t="s">
        <v>463</v>
      </c>
      <c r="E113" s="18" t="s">
        <v>464</v>
      </c>
      <c r="F113" s="72" t="s">
        <v>465</v>
      </c>
      <c r="G113" s="72" t="s">
        <v>59</v>
      </c>
      <c r="H113" s="18" t="s">
        <v>258</v>
      </c>
      <c r="I113" s="72" t="s">
        <v>61</v>
      </c>
      <c r="J113" s="18" t="s">
        <v>62</v>
      </c>
      <c r="K113" s="72" t="s">
        <v>63</v>
      </c>
      <c r="L113" s="18" t="s">
        <v>78</v>
      </c>
      <c r="M113" s="18" t="s">
        <v>258</v>
      </c>
      <c r="N113" s="18" t="s">
        <v>65</v>
      </c>
      <c r="O113" s="18">
        <v>594</v>
      </c>
      <c r="P113" s="18" t="s">
        <v>170</v>
      </c>
      <c r="Q113" s="20">
        <f>'[1]FEBE Academics 2024'!R112</f>
        <v>28758</v>
      </c>
      <c r="R113" s="21">
        <f ca="1">YEARFRAC(Q113,TODAY())</f>
        <v>47.861111111111114</v>
      </c>
      <c r="S113" s="20">
        <f>EDATE(Q113,12*65)</f>
        <v>52499</v>
      </c>
      <c r="T113" s="18">
        <v>30007204</v>
      </c>
      <c r="U113" s="18" t="s">
        <v>59</v>
      </c>
      <c r="V113" s="18" t="s">
        <v>66</v>
      </c>
      <c r="W113" s="18" t="s">
        <v>67</v>
      </c>
      <c r="X113" s="34" t="s">
        <v>466</v>
      </c>
      <c r="Y113" s="73">
        <v>46012</v>
      </c>
      <c r="Z113" s="34" t="s">
        <v>467</v>
      </c>
      <c r="AA113" s="34" t="s">
        <v>0</v>
      </c>
      <c r="AB113" s="34">
        <v>2024</v>
      </c>
      <c r="AC113" s="34" t="s">
        <v>0</v>
      </c>
      <c r="AD113" s="34" t="s">
        <v>0</v>
      </c>
      <c r="AE113" s="18" t="s">
        <v>0</v>
      </c>
      <c r="AF113" s="18" t="s">
        <v>0</v>
      </c>
      <c r="AG113" s="18" t="s">
        <v>0</v>
      </c>
      <c r="AH113" s="18" t="s">
        <v>0</v>
      </c>
      <c r="AI113" s="18" t="s">
        <v>0</v>
      </c>
      <c r="AJ113" s="34">
        <v>0.25</v>
      </c>
      <c r="AK113" s="34">
        <v>0</v>
      </c>
      <c r="AL113" s="34">
        <v>0</v>
      </c>
      <c r="AM113" s="24">
        <v>0</v>
      </c>
      <c r="AN113" s="25"/>
      <c r="AO113" s="100"/>
      <c r="AP113" s="18" t="s">
        <v>0</v>
      </c>
      <c r="AQ113" s="18" t="s">
        <v>1270</v>
      </c>
      <c r="AR113" s="18" t="s">
        <v>1270</v>
      </c>
      <c r="AS113" s="18" t="s">
        <v>0</v>
      </c>
      <c r="AT113" s="18" t="s">
        <v>0</v>
      </c>
      <c r="AU113" s="18" t="s">
        <v>0</v>
      </c>
      <c r="AV113" s="18" t="s">
        <v>0</v>
      </c>
      <c r="AW113" s="18" t="s">
        <v>0</v>
      </c>
      <c r="AX113" s="17">
        <v>0</v>
      </c>
      <c r="AY113" s="17" t="s">
        <v>0</v>
      </c>
      <c r="AZ113" s="17" t="s">
        <v>0</v>
      </c>
      <c r="BA113" s="17">
        <v>0</v>
      </c>
      <c r="BB113" s="18" t="s">
        <v>94</v>
      </c>
      <c r="BC113" s="18" t="s">
        <v>0</v>
      </c>
      <c r="BD113" s="18" t="s">
        <v>0</v>
      </c>
      <c r="BE113" s="18" t="s">
        <v>0</v>
      </c>
      <c r="BF113" s="18" t="s">
        <v>0</v>
      </c>
    </row>
    <row r="114" spans="1:58" s="165" customFormat="1" ht="17.850000000000001" customHeight="1">
      <c r="A114" s="17" t="s">
        <v>54</v>
      </c>
      <c r="B114" s="17">
        <v>30085383</v>
      </c>
      <c r="C114" s="17" t="s">
        <v>1090</v>
      </c>
      <c r="D114" s="17" t="s">
        <v>1091</v>
      </c>
      <c r="E114" s="17" t="s">
        <v>1092</v>
      </c>
      <c r="F114" s="19" t="s">
        <v>171</v>
      </c>
      <c r="G114" s="19" t="s">
        <v>190</v>
      </c>
      <c r="H114" s="17" t="s">
        <v>60</v>
      </c>
      <c r="I114" s="19" t="s">
        <v>61</v>
      </c>
      <c r="J114" s="17" t="s">
        <v>62</v>
      </c>
      <c r="K114" s="19" t="s">
        <v>63</v>
      </c>
      <c r="L114" s="17" t="s">
        <v>78</v>
      </c>
      <c r="M114" s="17" t="s">
        <v>60</v>
      </c>
      <c r="N114" s="17" t="s">
        <v>373</v>
      </c>
      <c r="O114" s="17">
        <v>594</v>
      </c>
      <c r="P114" s="17" t="s">
        <v>170</v>
      </c>
      <c r="Q114" s="20">
        <f>'[1]FEBE Academics 2024'!R113</f>
        <v>24886</v>
      </c>
      <c r="R114" s="21">
        <f ca="1">YEARFRAC(Q114,TODAY())</f>
        <v>58.463888888888889</v>
      </c>
      <c r="S114" s="20">
        <f>EDATE(Q114,12*65)</f>
        <v>48628</v>
      </c>
      <c r="T114" s="17">
        <v>30007204</v>
      </c>
      <c r="U114" s="17" t="s">
        <v>59</v>
      </c>
      <c r="V114" s="17" t="s">
        <v>66</v>
      </c>
      <c r="W114" s="17" t="s">
        <v>67</v>
      </c>
      <c r="X114" s="22" t="s">
        <v>467</v>
      </c>
      <c r="Y114" s="23">
        <v>45816</v>
      </c>
      <c r="Z114" s="22" t="s">
        <v>174</v>
      </c>
      <c r="AA114" s="34">
        <v>2023</v>
      </c>
      <c r="AB114" s="34">
        <v>2026</v>
      </c>
      <c r="AC114" s="34" t="s">
        <v>85</v>
      </c>
      <c r="AD114" s="34" t="s">
        <v>0</v>
      </c>
      <c r="AE114" s="17" t="s">
        <v>0</v>
      </c>
      <c r="AF114" s="17" t="s">
        <v>0</v>
      </c>
      <c r="AG114" s="17" t="s">
        <v>0</v>
      </c>
      <c r="AH114" s="17" t="s">
        <v>0</v>
      </c>
      <c r="AI114" s="17" t="s">
        <v>0</v>
      </c>
      <c r="AJ114" s="22">
        <v>0.5</v>
      </c>
      <c r="AK114" s="22">
        <v>0</v>
      </c>
      <c r="AL114" s="22">
        <v>0</v>
      </c>
      <c r="AM114" s="24">
        <v>0</v>
      </c>
      <c r="AN114" s="25"/>
      <c r="AO114" s="17" t="s">
        <v>0</v>
      </c>
      <c r="AP114" s="17" t="s">
        <v>0</v>
      </c>
      <c r="AQ114" s="62"/>
      <c r="AR114" s="18" t="s">
        <v>1270</v>
      </c>
      <c r="AS114" s="17" t="s">
        <v>0</v>
      </c>
      <c r="AT114" s="17" t="s">
        <v>0</v>
      </c>
      <c r="AU114" s="17" t="s">
        <v>0</v>
      </c>
      <c r="AV114" s="17" t="s">
        <v>0</v>
      </c>
      <c r="AW114" s="18" t="s">
        <v>0</v>
      </c>
      <c r="AX114" s="17">
        <v>0</v>
      </c>
      <c r="AY114" s="17" t="s">
        <v>0</v>
      </c>
      <c r="AZ114" s="17" t="s">
        <v>0</v>
      </c>
      <c r="BA114" s="17">
        <v>0</v>
      </c>
      <c r="BB114" s="17" t="s">
        <v>94</v>
      </c>
      <c r="BC114" s="17" t="s">
        <v>0</v>
      </c>
      <c r="BD114" s="17" t="s">
        <v>0</v>
      </c>
      <c r="BE114" s="18" t="s">
        <v>0</v>
      </c>
      <c r="BF114" s="18" t="s">
        <v>0</v>
      </c>
    </row>
    <row r="115" spans="1:58" s="68" customFormat="1" ht="17.850000000000001" customHeight="1">
      <c r="A115" s="18" t="s">
        <v>69</v>
      </c>
      <c r="B115" s="18">
        <v>30088595</v>
      </c>
      <c r="C115" s="18" t="s">
        <v>527</v>
      </c>
      <c r="D115" s="18" t="s">
        <v>528</v>
      </c>
      <c r="E115" s="18" t="s">
        <v>529</v>
      </c>
      <c r="F115" s="72" t="s">
        <v>530</v>
      </c>
      <c r="G115" s="72" t="s">
        <v>80</v>
      </c>
      <c r="H115" s="18" t="s">
        <v>60</v>
      </c>
      <c r="I115" s="19" t="s">
        <v>76</v>
      </c>
      <c r="J115" s="17" t="s">
        <v>62</v>
      </c>
      <c r="K115" s="19" t="s">
        <v>120</v>
      </c>
      <c r="L115" s="17" t="s">
        <v>78</v>
      </c>
      <c r="M115" s="17" t="s">
        <v>112</v>
      </c>
      <c r="N115" s="17" t="s">
        <v>531</v>
      </c>
      <c r="O115" s="17">
        <v>570</v>
      </c>
      <c r="P115" s="17" t="s">
        <v>532</v>
      </c>
      <c r="Q115" s="20">
        <f>'[1]FEBE Academics 2024'!R116</f>
        <v>30951</v>
      </c>
      <c r="R115" s="21">
        <f ca="1">YEARFRAC(Q115,TODAY())</f>
        <v>41.858333333333334</v>
      </c>
      <c r="S115" s="20">
        <f>EDATE(Q115,12*65)</f>
        <v>54692</v>
      </c>
      <c r="T115" s="17">
        <v>30000294</v>
      </c>
      <c r="U115" s="17" t="s">
        <v>80</v>
      </c>
      <c r="V115" s="17" t="s">
        <v>81</v>
      </c>
      <c r="W115" s="17" t="s">
        <v>82</v>
      </c>
      <c r="X115" s="22" t="s">
        <v>92</v>
      </c>
      <c r="Y115" s="23">
        <v>45843</v>
      </c>
      <c r="Z115" s="22" t="s">
        <v>84</v>
      </c>
      <c r="AA115" s="22" t="s">
        <v>0</v>
      </c>
      <c r="AB115" s="22" t="s">
        <v>0</v>
      </c>
      <c r="AC115" s="22" t="s">
        <v>0</v>
      </c>
      <c r="AD115" s="22" t="s">
        <v>0</v>
      </c>
      <c r="AE115" s="17" t="s">
        <v>0</v>
      </c>
      <c r="AF115" s="17" t="s">
        <v>0</v>
      </c>
      <c r="AG115" s="17" t="s">
        <v>0</v>
      </c>
      <c r="AH115" s="17" t="s">
        <v>0</v>
      </c>
      <c r="AI115" s="17" t="s">
        <v>0</v>
      </c>
      <c r="AJ115" s="22">
        <v>0.5</v>
      </c>
      <c r="AK115" s="36">
        <v>0.33</v>
      </c>
      <c r="AL115" s="22">
        <v>0.67</v>
      </c>
      <c r="AM115" s="39">
        <v>0.25</v>
      </c>
      <c r="AN115" s="17">
        <v>0.625</v>
      </c>
      <c r="AO115" s="17" t="s">
        <v>0</v>
      </c>
      <c r="AP115" s="17" t="s">
        <v>0</v>
      </c>
      <c r="AQ115" s="191" t="s">
        <v>1270</v>
      </c>
      <c r="AR115" s="18" t="s">
        <v>1270</v>
      </c>
      <c r="AS115" s="17" t="s">
        <v>0</v>
      </c>
      <c r="AT115" s="17" t="s">
        <v>0</v>
      </c>
      <c r="AU115" s="17" t="s">
        <v>0</v>
      </c>
      <c r="AV115" s="17" t="s">
        <v>0</v>
      </c>
      <c r="AW115" s="18" t="s">
        <v>0</v>
      </c>
      <c r="AX115" s="17">
        <v>10</v>
      </c>
      <c r="AY115" s="17" t="s">
        <v>0</v>
      </c>
      <c r="AZ115" s="17" t="s">
        <v>0</v>
      </c>
      <c r="BA115" s="17">
        <v>0</v>
      </c>
      <c r="BB115" s="40" t="s">
        <v>533</v>
      </c>
      <c r="BC115" s="17" t="s">
        <v>0</v>
      </c>
      <c r="BD115" s="17" t="s">
        <v>0</v>
      </c>
      <c r="BE115" s="18" t="s">
        <v>0</v>
      </c>
      <c r="BF115" s="18" t="s">
        <v>0</v>
      </c>
    </row>
    <row r="116" spans="1:58" ht="17.850000000000001" customHeight="1">
      <c r="A116" s="17" t="s">
        <v>54</v>
      </c>
      <c r="B116" s="17">
        <v>30104102</v>
      </c>
      <c r="C116" s="17" t="s">
        <v>1246</v>
      </c>
      <c r="D116" s="17" t="s">
        <v>1247</v>
      </c>
      <c r="E116" s="17" t="s">
        <v>1248</v>
      </c>
      <c r="F116" s="19" t="s">
        <v>1233</v>
      </c>
      <c r="G116" s="19" t="s">
        <v>74</v>
      </c>
      <c r="H116" s="17" t="s">
        <v>60</v>
      </c>
      <c r="I116" s="19" t="s">
        <v>76</v>
      </c>
      <c r="J116" s="17" t="s">
        <v>62</v>
      </c>
      <c r="K116" s="19" t="s">
        <v>63</v>
      </c>
      <c r="L116" s="17" t="s">
        <v>78</v>
      </c>
      <c r="M116" s="17" t="s">
        <v>60</v>
      </c>
      <c r="N116" s="17" t="s">
        <v>65</v>
      </c>
      <c r="O116" s="17">
        <v>594</v>
      </c>
      <c r="P116" s="17" t="s">
        <v>170</v>
      </c>
      <c r="Q116" s="20">
        <f>'[1]FEBE Academics 2024'!R117</f>
        <v>32619</v>
      </c>
      <c r="R116" s="21">
        <f ca="1">YEARFRAC(Q116,TODAY())</f>
        <v>37.288888888888891</v>
      </c>
      <c r="S116" s="20">
        <f>EDATE(Q116,12*65)</f>
        <v>56360</v>
      </c>
      <c r="T116" s="17">
        <v>30007204</v>
      </c>
      <c r="U116" s="17" t="s">
        <v>59</v>
      </c>
      <c r="V116" s="17" t="s">
        <v>66</v>
      </c>
      <c r="W116" s="17" t="s">
        <v>67</v>
      </c>
      <c r="X116" s="22" t="s">
        <v>1249</v>
      </c>
      <c r="Y116" s="23">
        <v>45856</v>
      </c>
      <c r="Z116" s="22" t="s">
        <v>0</v>
      </c>
      <c r="AA116" s="22" t="s">
        <v>0</v>
      </c>
      <c r="AB116" s="22" t="s">
        <v>0</v>
      </c>
      <c r="AC116" s="22" t="s">
        <v>0</v>
      </c>
      <c r="AD116" s="22" t="s">
        <v>0</v>
      </c>
      <c r="AE116" s="17" t="s">
        <v>0</v>
      </c>
      <c r="AF116" s="17" t="s">
        <v>0</v>
      </c>
      <c r="AG116" s="17" t="s">
        <v>0</v>
      </c>
      <c r="AH116" s="17" t="s">
        <v>0</v>
      </c>
      <c r="AI116" s="17" t="s">
        <v>0</v>
      </c>
      <c r="AJ116" s="22">
        <v>0.5</v>
      </c>
      <c r="AK116" s="22">
        <v>0</v>
      </c>
      <c r="AL116" s="22">
        <v>0</v>
      </c>
      <c r="AM116" s="24">
        <v>0</v>
      </c>
      <c r="AN116" s="25"/>
      <c r="AO116" s="17" t="s">
        <v>0</v>
      </c>
      <c r="AP116" s="17" t="s">
        <v>0</v>
      </c>
      <c r="AQ116" s="18" t="s">
        <v>1270</v>
      </c>
      <c r="AR116" s="18"/>
      <c r="AS116" s="17" t="s">
        <v>0</v>
      </c>
      <c r="AT116" s="17" t="s">
        <v>0</v>
      </c>
      <c r="AU116" s="17" t="s">
        <v>0</v>
      </c>
      <c r="AV116" s="17" t="s">
        <v>0</v>
      </c>
      <c r="AW116" s="18" t="s">
        <v>0</v>
      </c>
      <c r="AX116" s="17">
        <v>0</v>
      </c>
      <c r="AY116" s="17" t="s">
        <v>0</v>
      </c>
      <c r="AZ116" s="17" t="s">
        <v>0</v>
      </c>
      <c r="BA116" s="17">
        <v>0</v>
      </c>
      <c r="BB116" s="17" t="s">
        <v>94</v>
      </c>
      <c r="BC116" s="17" t="s">
        <v>0</v>
      </c>
      <c r="BD116" s="17" t="s">
        <v>0</v>
      </c>
      <c r="BE116" s="18" t="s">
        <v>0</v>
      </c>
      <c r="BF116" s="18" t="s">
        <v>0</v>
      </c>
    </row>
    <row r="117" spans="1:58" ht="17.850000000000001" customHeight="1">
      <c r="A117" s="18" t="s">
        <v>135</v>
      </c>
      <c r="B117" s="18">
        <v>30107390</v>
      </c>
      <c r="C117" s="18" t="s">
        <v>805</v>
      </c>
      <c r="D117" s="18" t="s">
        <v>806</v>
      </c>
      <c r="E117" s="18" t="s">
        <v>807</v>
      </c>
      <c r="F117" s="19" t="s">
        <v>76</v>
      </c>
      <c r="G117" s="19" t="s">
        <v>74</v>
      </c>
      <c r="H117" s="17" t="s">
        <v>189</v>
      </c>
      <c r="I117" s="19" t="s">
        <v>76</v>
      </c>
      <c r="J117" s="17" t="s">
        <v>62</v>
      </c>
      <c r="K117" s="19" t="s">
        <v>63</v>
      </c>
      <c r="L117" s="17" t="s">
        <v>78</v>
      </c>
      <c r="M117" s="17" t="s">
        <v>189</v>
      </c>
      <c r="N117" s="17" t="s">
        <v>65</v>
      </c>
      <c r="O117" s="17">
        <v>531</v>
      </c>
      <c r="P117" s="17" t="s">
        <v>213</v>
      </c>
      <c r="Q117" s="20">
        <f>'[1]FEBE Academics 2024'!R118</f>
        <v>34899</v>
      </c>
      <c r="R117" s="21">
        <f ca="1">YEARFRAC(Q117,TODAY())</f>
        <v>31.044444444444444</v>
      </c>
      <c r="S117" s="20">
        <f>EDATE(Q117,12*65)</f>
        <v>58641</v>
      </c>
      <c r="T117" s="17">
        <v>30015698</v>
      </c>
      <c r="U117" s="17" t="s">
        <v>190</v>
      </c>
      <c r="V117" s="17" t="s">
        <v>191</v>
      </c>
      <c r="W117" s="17" t="s">
        <v>192</v>
      </c>
      <c r="X117" s="22" t="s">
        <v>166</v>
      </c>
      <c r="Y117" s="23">
        <v>45982</v>
      </c>
      <c r="Z117" s="52" t="s">
        <v>808</v>
      </c>
      <c r="AA117" s="34">
        <v>2023</v>
      </c>
      <c r="AB117" s="34">
        <v>2025</v>
      </c>
      <c r="AC117" s="34" t="s">
        <v>809</v>
      </c>
      <c r="AD117" s="22" t="s">
        <v>0</v>
      </c>
      <c r="AE117" s="17" t="s">
        <v>0</v>
      </c>
      <c r="AF117" s="17" t="s">
        <v>0</v>
      </c>
      <c r="AG117" s="17" t="s">
        <v>0</v>
      </c>
      <c r="AH117" s="17" t="s">
        <v>0</v>
      </c>
      <c r="AI117" s="17" t="s">
        <v>0</v>
      </c>
      <c r="AJ117" s="22">
        <v>0.5</v>
      </c>
      <c r="AK117" s="22">
        <v>0</v>
      </c>
      <c r="AL117" s="22">
        <v>0</v>
      </c>
      <c r="AM117" s="22">
        <v>0</v>
      </c>
      <c r="AN117" s="22"/>
      <c r="AO117" s="17" t="s">
        <v>0</v>
      </c>
      <c r="AP117" s="17" t="s">
        <v>0</v>
      </c>
      <c r="AQ117" s="205" t="s">
        <v>1270</v>
      </c>
      <c r="AR117" s="18"/>
      <c r="AS117" s="17" t="s">
        <v>0</v>
      </c>
      <c r="AT117" s="17" t="s">
        <v>0</v>
      </c>
      <c r="AU117" s="17" t="s">
        <v>0</v>
      </c>
      <c r="AV117" s="17" t="s">
        <v>0</v>
      </c>
      <c r="AW117" s="18">
        <v>0</v>
      </c>
      <c r="AX117" s="17">
        <v>0</v>
      </c>
      <c r="AY117" s="17" t="s">
        <v>0</v>
      </c>
      <c r="AZ117" s="17">
        <v>0</v>
      </c>
      <c r="BA117" s="17">
        <v>0</v>
      </c>
      <c r="BB117" s="17" t="s">
        <v>94</v>
      </c>
      <c r="BC117" s="17" t="s">
        <v>0</v>
      </c>
      <c r="BD117" s="17" t="s">
        <v>0</v>
      </c>
      <c r="BE117" s="18" t="s">
        <v>0</v>
      </c>
      <c r="BF117" s="18" t="s">
        <v>0</v>
      </c>
    </row>
    <row r="118" spans="1:58" s="68" customFormat="1" ht="17.850000000000001" customHeight="1">
      <c r="A118" s="17" t="s">
        <v>217</v>
      </c>
      <c r="B118" s="17">
        <v>30105470</v>
      </c>
      <c r="C118" s="17" t="s">
        <v>771</v>
      </c>
      <c r="D118" s="17" t="s">
        <v>772</v>
      </c>
      <c r="E118" s="17" t="s">
        <v>773</v>
      </c>
      <c r="F118" s="19" t="s">
        <v>59</v>
      </c>
      <c r="G118" s="19" t="s">
        <v>74</v>
      </c>
      <c r="H118" s="17" t="s">
        <v>258</v>
      </c>
      <c r="I118" s="19" t="s">
        <v>76</v>
      </c>
      <c r="J118" s="17" t="s">
        <v>62</v>
      </c>
      <c r="K118" s="19" t="s">
        <v>120</v>
      </c>
      <c r="L118" s="17" t="s">
        <v>222</v>
      </c>
      <c r="M118" s="17" t="s">
        <v>258</v>
      </c>
      <c r="N118" s="17" t="s">
        <v>65</v>
      </c>
      <c r="O118" s="17" t="s">
        <v>0</v>
      </c>
      <c r="P118" s="17" t="s">
        <v>0</v>
      </c>
      <c r="Q118" s="37"/>
      <c r="R118" s="38"/>
      <c r="S118" s="37"/>
      <c r="T118" s="17">
        <v>30007939</v>
      </c>
      <c r="U118" s="17" t="s">
        <v>74</v>
      </c>
      <c r="V118" s="17" t="s">
        <v>223</v>
      </c>
      <c r="W118" s="17" t="s">
        <v>224</v>
      </c>
      <c r="X118" s="22" t="s">
        <v>300</v>
      </c>
      <c r="Y118" s="59" t="s">
        <v>0</v>
      </c>
      <c r="Z118" s="22" t="s">
        <v>0</v>
      </c>
      <c r="AA118" s="22" t="s">
        <v>0</v>
      </c>
      <c r="AB118" s="22" t="s">
        <v>0</v>
      </c>
      <c r="AC118" s="22" t="s">
        <v>0</v>
      </c>
      <c r="AD118" s="22" t="s">
        <v>0</v>
      </c>
      <c r="AE118" s="17" t="s">
        <v>0</v>
      </c>
      <c r="AF118" s="17" t="s">
        <v>0</v>
      </c>
      <c r="AG118" s="17" t="s">
        <v>0</v>
      </c>
      <c r="AH118" s="17" t="s">
        <v>0</v>
      </c>
      <c r="AI118" s="17" t="s">
        <v>0</v>
      </c>
      <c r="AJ118" s="22">
        <v>0.5</v>
      </c>
      <c r="AK118" s="22">
        <v>0</v>
      </c>
      <c r="AL118" s="22">
        <v>0</v>
      </c>
      <c r="AM118" s="17">
        <v>0</v>
      </c>
      <c r="AN118" s="17"/>
      <c r="AO118" s="17" t="s">
        <v>0</v>
      </c>
      <c r="AP118" s="17" t="s">
        <v>0</v>
      </c>
      <c r="AQ118" s="69" t="s">
        <v>1270</v>
      </c>
      <c r="AR118" s="18"/>
      <c r="AS118" s="17" t="s">
        <v>0</v>
      </c>
      <c r="AT118" s="17" t="s">
        <v>0</v>
      </c>
      <c r="AU118" s="17" t="s">
        <v>0</v>
      </c>
      <c r="AV118" s="17" t="s">
        <v>0</v>
      </c>
      <c r="AW118" s="39" t="s">
        <v>0</v>
      </c>
      <c r="AX118" s="17">
        <v>0</v>
      </c>
      <c r="AY118" s="17" t="s">
        <v>0</v>
      </c>
      <c r="AZ118" s="17" t="s">
        <v>0</v>
      </c>
      <c r="BA118" s="17">
        <v>0</v>
      </c>
      <c r="BB118" s="17" t="s">
        <v>94</v>
      </c>
      <c r="BC118" s="17" t="s">
        <v>0</v>
      </c>
      <c r="BD118" s="17" t="s">
        <v>0</v>
      </c>
      <c r="BE118" s="17" t="s">
        <v>0</v>
      </c>
      <c r="BF118" s="17" t="s">
        <v>0</v>
      </c>
    </row>
    <row r="119" spans="1:58" ht="17.850000000000001" customHeight="1">
      <c r="A119" s="186" t="s">
        <v>95</v>
      </c>
      <c r="B119" s="186">
        <v>30084183</v>
      </c>
      <c r="C119" s="186" t="s">
        <v>1241</v>
      </c>
      <c r="D119" s="186" t="s">
        <v>1242</v>
      </c>
      <c r="E119" s="186" t="s">
        <v>1243</v>
      </c>
      <c r="F119" s="187" t="s">
        <v>1244</v>
      </c>
      <c r="G119" s="187" t="s">
        <v>74</v>
      </c>
      <c r="H119" s="186" t="s">
        <v>1245</v>
      </c>
      <c r="I119" s="187" t="s">
        <v>76</v>
      </c>
      <c r="J119" s="186" t="s">
        <v>62</v>
      </c>
      <c r="K119" s="187" t="s">
        <v>120</v>
      </c>
      <c r="L119" s="186" t="s">
        <v>78</v>
      </c>
      <c r="M119" s="186" t="s">
        <v>164</v>
      </c>
      <c r="N119" s="186" t="s">
        <v>65</v>
      </c>
      <c r="O119" s="186"/>
      <c r="P119" s="186"/>
      <c r="Q119" s="186"/>
      <c r="R119" s="186"/>
      <c r="S119" s="188">
        <v>30942</v>
      </c>
      <c r="T119" s="186">
        <v>30110521</v>
      </c>
      <c r="U119" s="186" t="s">
        <v>105</v>
      </c>
      <c r="V119" s="186" t="s">
        <v>106</v>
      </c>
      <c r="W119" s="186" t="s">
        <v>107</v>
      </c>
      <c r="X119" s="186" t="s">
        <v>328</v>
      </c>
      <c r="Y119" s="186"/>
      <c r="Z119" s="186"/>
      <c r="AA119" s="186"/>
      <c r="AB119" s="186"/>
      <c r="AC119" s="186"/>
      <c r="AD119" s="186"/>
      <c r="AE119" s="186"/>
      <c r="AF119" s="186"/>
      <c r="AG119" s="186"/>
      <c r="AH119" s="186"/>
      <c r="AI119" s="186"/>
      <c r="AJ119" s="186"/>
      <c r="AK119" s="186"/>
      <c r="AL119" s="186"/>
      <c r="AM119" s="186"/>
      <c r="AN119" s="170"/>
      <c r="AO119" s="186"/>
      <c r="AP119" s="186"/>
      <c r="AQ119" s="205" t="s">
        <v>1270</v>
      </c>
      <c r="AR119" s="18"/>
      <c r="AS119" s="186"/>
      <c r="AT119" s="186"/>
      <c r="AU119" s="186"/>
      <c r="AV119" s="186"/>
      <c r="AW119" s="166"/>
      <c r="AX119" s="166"/>
      <c r="AY119" s="166"/>
      <c r="AZ119" s="166"/>
      <c r="BA119" s="186"/>
      <c r="BB119" s="186"/>
      <c r="BC119" s="186"/>
      <c r="BD119" s="186"/>
      <c r="BE119" s="186"/>
      <c r="BF119" s="186"/>
    </row>
    <row r="120" spans="1:58" s="26" customFormat="1" ht="17.850000000000001" customHeight="1">
      <c r="A120" s="27" t="s">
        <v>69</v>
      </c>
      <c r="B120" s="27">
        <v>30111658</v>
      </c>
      <c r="C120" s="27" t="s">
        <v>570</v>
      </c>
      <c r="D120" s="27" t="s">
        <v>571</v>
      </c>
      <c r="E120" s="27" t="s">
        <v>572</v>
      </c>
      <c r="F120" s="29" t="s">
        <v>555</v>
      </c>
      <c r="G120" s="29" t="s">
        <v>74</v>
      </c>
      <c r="H120" s="27" t="s">
        <v>60</v>
      </c>
      <c r="I120" s="29" t="s">
        <v>76</v>
      </c>
      <c r="J120" s="27" t="s">
        <v>62</v>
      </c>
      <c r="K120" s="29" t="s">
        <v>120</v>
      </c>
      <c r="L120" s="27" t="s">
        <v>78</v>
      </c>
      <c r="M120" s="27" t="s">
        <v>164</v>
      </c>
      <c r="N120" s="27" t="s">
        <v>65</v>
      </c>
      <c r="O120" s="27"/>
      <c r="P120" s="27"/>
      <c r="Q120" s="108">
        <v>35814</v>
      </c>
      <c r="R120" s="31">
        <f ca="1">YEARFRAC(Q120,TODAY())</f>
        <v>28.544444444444444</v>
      </c>
      <c r="S120" s="30">
        <f>EDATE(Q120,12*65)</f>
        <v>59555</v>
      </c>
      <c r="T120" s="27">
        <v>30000294</v>
      </c>
      <c r="U120" s="27" t="s">
        <v>105</v>
      </c>
      <c r="V120" s="27" t="s">
        <v>81</v>
      </c>
      <c r="W120" s="27" t="s">
        <v>82</v>
      </c>
      <c r="X120" s="27" t="s">
        <v>573</v>
      </c>
      <c r="Y120" s="33">
        <v>45292</v>
      </c>
      <c r="Z120" s="32"/>
      <c r="AA120" s="32"/>
      <c r="AB120" s="32"/>
      <c r="AC120" s="32"/>
      <c r="AD120" s="32"/>
      <c r="AE120" s="27"/>
      <c r="AF120" s="27"/>
      <c r="AG120" s="27"/>
      <c r="AH120" s="27"/>
      <c r="AI120" s="27"/>
      <c r="AJ120" s="32"/>
      <c r="AK120" s="32"/>
      <c r="AL120" s="32"/>
      <c r="AM120" s="109"/>
      <c r="AN120" s="25"/>
      <c r="AO120" s="27"/>
      <c r="AP120" s="27"/>
      <c r="AQ120" s="205" t="s">
        <v>1270</v>
      </c>
      <c r="AR120" s="18"/>
      <c r="AS120" s="27"/>
      <c r="AT120" s="27"/>
      <c r="AU120" s="27"/>
      <c r="AV120" s="27"/>
      <c r="AW120" s="27"/>
      <c r="AX120" s="27"/>
      <c r="AY120" s="27"/>
      <c r="AZ120" s="27"/>
      <c r="BA120" s="27"/>
      <c r="BB120" s="27"/>
      <c r="BC120" s="27"/>
      <c r="BD120" s="27"/>
      <c r="BE120" s="27"/>
      <c r="BF120" s="27"/>
    </row>
    <row r="121" spans="1:58" s="47" customFormat="1" ht="17.850000000000001" customHeight="1">
      <c r="A121" s="17" t="s">
        <v>69</v>
      </c>
      <c r="B121" s="17">
        <v>30090649</v>
      </c>
      <c r="C121" s="65" t="s">
        <v>828</v>
      </c>
      <c r="D121" s="17" t="s">
        <v>829</v>
      </c>
      <c r="E121" s="17" t="s">
        <v>830</v>
      </c>
      <c r="F121" s="19" t="s">
        <v>76</v>
      </c>
      <c r="G121" s="19" t="s">
        <v>74</v>
      </c>
      <c r="H121" s="17" t="s">
        <v>60</v>
      </c>
      <c r="I121" s="19" t="s">
        <v>76</v>
      </c>
      <c r="J121" s="17" t="s">
        <v>62</v>
      </c>
      <c r="K121" s="19" t="s">
        <v>63</v>
      </c>
      <c r="L121" s="17" t="s">
        <v>78</v>
      </c>
      <c r="M121" s="17" t="s">
        <v>60</v>
      </c>
      <c r="N121" s="17" t="s">
        <v>65</v>
      </c>
      <c r="O121" s="17" t="s">
        <v>0</v>
      </c>
      <c r="P121" s="17" t="s">
        <v>0</v>
      </c>
      <c r="Q121" s="20">
        <f>'[1]FEBE Academics 2024'!R120</f>
        <v>34270</v>
      </c>
      <c r="R121" s="21">
        <f ca="1">YEARFRAC(Q121,TODAY())</f>
        <v>32.769444444444446</v>
      </c>
      <c r="S121" s="20">
        <f>EDATE(Q121,12*65)</f>
        <v>58011</v>
      </c>
      <c r="T121" s="17">
        <v>30000294</v>
      </c>
      <c r="U121" s="17" t="s">
        <v>80</v>
      </c>
      <c r="V121" s="17" t="s">
        <v>81</v>
      </c>
      <c r="W121" s="17" t="s">
        <v>82</v>
      </c>
      <c r="X121" s="22" t="s">
        <v>83</v>
      </c>
      <c r="Y121" s="23">
        <v>45982</v>
      </c>
      <c r="Z121" s="34" t="s">
        <v>831</v>
      </c>
      <c r="AA121" s="34">
        <v>2022</v>
      </c>
      <c r="AB121" s="34">
        <v>2026</v>
      </c>
      <c r="AC121" s="34" t="s">
        <v>473</v>
      </c>
      <c r="AD121" s="22" t="s">
        <v>0</v>
      </c>
      <c r="AE121" s="17" t="s">
        <v>0</v>
      </c>
      <c r="AF121" s="17" t="s">
        <v>0</v>
      </c>
      <c r="AG121" s="17" t="s">
        <v>0</v>
      </c>
      <c r="AH121" s="17" t="s">
        <v>0</v>
      </c>
      <c r="AI121" s="17" t="s">
        <v>0</v>
      </c>
      <c r="AJ121" s="22">
        <v>0.5</v>
      </c>
      <c r="AK121" s="36">
        <v>0.33</v>
      </c>
      <c r="AL121" s="22">
        <v>0.28999999999999998</v>
      </c>
      <c r="AM121" s="18">
        <v>0</v>
      </c>
      <c r="AN121" s="17">
        <v>0.375</v>
      </c>
      <c r="AO121" s="17" t="s">
        <v>0</v>
      </c>
      <c r="AP121" s="17" t="s">
        <v>0</v>
      </c>
      <c r="AQ121" s="1"/>
      <c r="AR121" s="18" t="s">
        <v>1270</v>
      </c>
      <c r="AS121" s="17" t="s">
        <v>0</v>
      </c>
      <c r="AT121" s="17" t="s">
        <v>0</v>
      </c>
      <c r="AU121" s="17" t="s">
        <v>0</v>
      </c>
      <c r="AV121" s="17" t="s">
        <v>0</v>
      </c>
      <c r="AW121" s="18">
        <v>6</v>
      </c>
      <c r="AX121" s="17">
        <v>4</v>
      </c>
      <c r="AY121" s="17" t="s">
        <v>0</v>
      </c>
      <c r="AZ121" s="17">
        <v>3</v>
      </c>
      <c r="BA121" s="17">
        <v>3</v>
      </c>
      <c r="BB121" s="40" t="s">
        <v>832</v>
      </c>
      <c r="BC121" s="17" t="s">
        <v>0</v>
      </c>
      <c r="BD121" s="17" t="s">
        <v>0</v>
      </c>
      <c r="BE121" s="18" t="s">
        <v>0</v>
      </c>
      <c r="BF121" s="18" t="s">
        <v>0</v>
      </c>
    </row>
    <row r="122" spans="1:58" ht="17.850000000000001" customHeight="1">
      <c r="A122" s="27" t="s">
        <v>260</v>
      </c>
      <c r="B122" s="27">
        <v>30112941</v>
      </c>
      <c r="C122" s="35" t="s">
        <v>261</v>
      </c>
      <c r="D122" s="27" t="s">
        <v>262</v>
      </c>
      <c r="E122" s="27" t="s">
        <v>263</v>
      </c>
      <c r="F122" s="29" t="s">
        <v>264</v>
      </c>
      <c r="G122" s="29" t="s">
        <v>74</v>
      </c>
      <c r="H122" s="27" t="s">
        <v>253</v>
      </c>
      <c r="I122" s="29" t="s">
        <v>76</v>
      </c>
      <c r="J122" s="27" t="s">
        <v>62</v>
      </c>
      <c r="K122" s="29" t="s">
        <v>120</v>
      </c>
      <c r="L122" s="27" t="s">
        <v>78</v>
      </c>
      <c r="M122" s="27" t="s">
        <v>121</v>
      </c>
      <c r="N122" s="27" t="s">
        <v>122</v>
      </c>
      <c r="O122" s="27"/>
      <c r="P122" s="27"/>
      <c r="Q122" s="44">
        <v>31374</v>
      </c>
      <c r="R122" s="27"/>
      <c r="S122" s="27"/>
      <c r="T122" s="17">
        <v>30010866</v>
      </c>
      <c r="U122" s="17" t="s">
        <v>265</v>
      </c>
      <c r="V122" s="17" t="s">
        <v>266</v>
      </c>
      <c r="W122" s="17" t="s">
        <v>267</v>
      </c>
      <c r="X122" s="27" t="s">
        <v>83</v>
      </c>
      <c r="Y122" s="42">
        <v>43831</v>
      </c>
      <c r="Z122" s="62"/>
      <c r="AA122" s="62"/>
      <c r="AB122" s="62"/>
      <c r="AC122" s="62"/>
      <c r="AD122" s="62"/>
      <c r="AE122" s="62"/>
      <c r="AF122" s="62"/>
      <c r="AG122" s="62"/>
      <c r="AH122" s="62"/>
      <c r="AI122" s="62"/>
      <c r="AJ122" s="62"/>
      <c r="AK122" s="62"/>
      <c r="AL122" s="62"/>
      <c r="AM122" s="62"/>
      <c r="AN122" s="17"/>
      <c r="AO122" s="62"/>
      <c r="AP122" s="62"/>
      <c r="AQ122" s="197"/>
      <c r="AR122" s="17" t="s">
        <v>1270</v>
      </c>
      <c r="AS122" s="62"/>
      <c r="AT122" s="62"/>
      <c r="AU122" s="62"/>
      <c r="AV122" s="62"/>
      <c r="AW122" s="27"/>
      <c r="AX122" s="27"/>
      <c r="AY122" s="27"/>
      <c r="AZ122" s="27"/>
      <c r="BA122" s="62"/>
      <c r="BB122" s="62"/>
      <c r="BC122" s="62"/>
      <c r="BD122" s="62"/>
      <c r="BE122" s="62"/>
      <c r="BF122" s="62"/>
    </row>
    <row r="123" spans="1:58" ht="17.850000000000001" customHeight="1">
      <c r="A123" s="18" t="s">
        <v>69</v>
      </c>
      <c r="B123" s="18">
        <v>30010159</v>
      </c>
      <c r="C123" s="18" t="s">
        <v>86</v>
      </c>
      <c r="D123" s="18" t="s">
        <v>87</v>
      </c>
      <c r="E123" s="18" t="s">
        <v>88</v>
      </c>
      <c r="F123" s="19" t="s">
        <v>89</v>
      </c>
      <c r="G123" s="19" t="s">
        <v>74</v>
      </c>
      <c r="H123" s="17" t="s">
        <v>60</v>
      </c>
      <c r="I123" s="19" t="s">
        <v>76</v>
      </c>
      <c r="J123" s="17" t="s">
        <v>62</v>
      </c>
      <c r="K123" s="19" t="s">
        <v>63</v>
      </c>
      <c r="L123" s="17" t="s">
        <v>64</v>
      </c>
      <c r="M123" s="17" t="s">
        <v>60</v>
      </c>
      <c r="N123" s="17" t="s">
        <v>90</v>
      </c>
      <c r="O123" s="17">
        <v>2010</v>
      </c>
      <c r="P123" s="17" t="s">
        <v>91</v>
      </c>
      <c r="Q123" s="20">
        <f>'[1]FEBE Academics 2024'!R121</f>
        <v>26963</v>
      </c>
      <c r="R123" s="21">
        <f ca="1">YEARFRAC(Q123,TODAY())</f>
        <v>52.774999999999999</v>
      </c>
      <c r="S123" s="20">
        <f>EDATE(Q123,12*65)</f>
        <v>50704</v>
      </c>
      <c r="T123" s="17">
        <v>30000294</v>
      </c>
      <c r="U123" s="17" t="s">
        <v>80</v>
      </c>
      <c r="V123" s="17" t="s">
        <v>81</v>
      </c>
      <c r="W123" s="17" t="s">
        <v>82</v>
      </c>
      <c r="X123" s="22" t="s">
        <v>92</v>
      </c>
      <c r="Y123" s="23">
        <v>45730</v>
      </c>
      <c r="Z123" s="34" t="s">
        <v>93</v>
      </c>
      <c r="AA123" s="34">
        <v>2020</v>
      </c>
      <c r="AB123" s="34">
        <v>2024</v>
      </c>
      <c r="AC123" s="34" t="s">
        <v>85</v>
      </c>
      <c r="AD123" s="22" t="s">
        <v>0</v>
      </c>
      <c r="AE123" s="17" t="s">
        <v>0</v>
      </c>
      <c r="AF123" s="17" t="s">
        <v>0</v>
      </c>
      <c r="AG123" s="17" t="s">
        <v>0</v>
      </c>
      <c r="AH123" s="17" t="s">
        <v>0</v>
      </c>
      <c r="AI123" s="17" t="s">
        <v>0</v>
      </c>
      <c r="AJ123" s="22">
        <v>0.5</v>
      </c>
      <c r="AK123" s="22">
        <v>0</v>
      </c>
      <c r="AL123" s="22">
        <v>0</v>
      </c>
      <c r="AM123" s="18">
        <v>0</v>
      </c>
      <c r="AN123" s="17"/>
      <c r="AO123" s="17" t="s">
        <v>0</v>
      </c>
      <c r="AP123" s="17" t="s">
        <v>0</v>
      </c>
      <c r="AQ123" s="205" t="s">
        <v>1270</v>
      </c>
      <c r="AR123" s="191"/>
      <c r="AS123" s="17" t="s">
        <v>0</v>
      </c>
      <c r="AT123" s="17" t="s">
        <v>0</v>
      </c>
      <c r="AU123" s="17" t="s">
        <v>0</v>
      </c>
      <c r="AV123" s="17" t="s">
        <v>0</v>
      </c>
      <c r="AW123" s="18" t="s">
        <v>0</v>
      </c>
      <c r="AX123" s="17">
        <v>0</v>
      </c>
      <c r="AY123" s="17" t="s">
        <v>0</v>
      </c>
      <c r="AZ123" s="17" t="s">
        <v>0</v>
      </c>
      <c r="BA123" s="17">
        <v>0</v>
      </c>
      <c r="BB123" s="17" t="s">
        <v>94</v>
      </c>
      <c r="BC123" s="17" t="s">
        <v>0</v>
      </c>
      <c r="BD123" s="17" t="s">
        <v>0</v>
      </c>
      <c r="BE123" s="18" t="s">
        <v>0</v>
      </c>
      <c r="BF123" s="18" t="s">
        <v>0</v>
      </c>
    </row>
    <row r="124" spans="1:58" ht="17.850000000000001" customHeight="1">
      <c r="A124" s="17" t="s">
        <v>95</v>
      </c>
      <c r="B124" s="17">
        <v>30084580</v>
      </c>
      <c r="C124" s="17" t="s">
        <v>730</v>
      </c>
      <c r="D124" s="17" t="s">
        <v>731</v>
      </c>
      <c r="E124" s="17" t="s">
        <v>732</v>
      </c>
      <c r="F124" s="19" t="s">
        <v>684</v>
      </c>
      <c r="G124" s="19" t="s">
        <v>74</v>
      </c>
      <c r="H124" s="17" t="s">
        <v>486</v>
      </c>
      <c r="I124" s="19" t="s">
        <v>76</v>
      </c>
      <c r="J124" s="17" t="s">
        <v>62</v>
      </c>
      <c r="K124" s="19" t="s">
        <v>63</v>
      </c>
      <c r="L124" s="17" t="s">
        <v>78</v>
      </c>
      <c r="M124" s="17" t="s">
        <v>486</v>
      </c>
      <c r="N124" s="17" t="s">
        <v>65</v>
      </c>
      <c r="O124" s="17">
        <v>1012</v>
      </c>
      <c r="P124" s="17" t="s">
        <v>104</v>
      </c>
      <c r="Q124" s="20">
        <f>'[1]FEBE Academics 2024'!R122</f>
        <v>30075</v>
      </c>
      <c r="R124" s="21">
        <f ca="1">YEARFRAC(Q124,TODAY())</f>
        <v>44.25277777777778</v>
      </c>
      <c r="S124" s="20">
        <f>EDATE(Q124,12*65)</f>
        <v>53816</v>
      </c>
      <c r="T124" s="17">
        <v>30110521</v>
      </c>
      <c r="U124" s="17" t="s">
        <v>105</v>
      </c>
      <c r="V124" s="17" t="s">
        <v>106</v>
      </c>
      <c r="W124" s="17" t="s">
        <v>107</v>
      </c>
      <c r="X124" s="22" t="s">
        <v>401</v>
      </c>
      <c r="Y124" s="23">
        <v>45979</v>
      </c>
      <c r="Z124" s="52" t="s">
        <v>733</v>
      </c>
      <c r="AA124" s="34">
        <v>2021</v>
      </c>
      <c r="AB124" s="34">
        <v>2025</v>
      </c>
      <c r="AC124" s="34" t="s">
        <v>85</v>
      </c>
      <c r="AD124" s="22" t="s">
        <v>0</v>
      </c>
      <c r="AE124" s="17" t="s">
        <v>0</v>
      </c>
      <c r="AF124" s="17" t="s">
        <v>0</v>
      </c>
      <c r="AG124" s="17" t="s">
        <v>0</v>
      </c>
      <c r="AH124" s="17" t="s">
        <v>0</v>
      </c>
      <c r="AI124" s="17" t="s">
        <v>0</v>
      </c>
      <c r="AJ124" s="22">
        <v>0.25</v>
      </c>
      <c r="AK124" s="22">
        <v>0</v>
      </c>
      <c r="AL124" s="22">
        <v>0</v>
      </c>
      <c r="AM124" s="32">
        <v>0</v>
      </c>
      <c r="AN124" s="22"/>
      <c r="AO124" s="17" t="s">
        <v>0</v>
      </c>
      <c r="AP124" s="17" t="s">
        <v>0</v>
      </c>
      <c r="AQ124" s="18" t="s">
        <v>1270</v>
      </c>
      <c r="AR124" s="18" t="s">
        <v>1270</v>
      </c>
      <c r="AS124" s="17" t="s">
        <v>0</v>
      </c>
      <c r="AT124" s="17" t="s">
        <v>0</v>
      </c>
      <c r="AU124" s="17" t="s">
        <v>0</v>
      </c>
      <c r="AV124" s="17" t="s">
        <v>0</v>
      </c>
      <c r="AW124" s="18" t="s">
        <v>0</v>
      </c>
      <c r="AX124" s="17">
        <v>0</v>
      </c>
      <c r="AY124" s="17" t="s">
        <v>0</v>
      </c>
      <c r="AZ124" s="17" t="s">
        <v>0</v>
      </c>
      <c r="BA124" s="17">
        <v>0</v>
      </c>
      <c r="BB124" s="17" t="s">
        <v>94</v>
      </c>
      <c r="BC124" s="17" t="s">
        <v>0</v>
      </c>
      <c r="BD124" s="17" t="s">
        <v>0</v>
      </c>
      <c r="BE124" s="18" t="s">
        <v>0</v>
      </c>
      <c r="BF124" s="18" t="s">
        <v>0</v>
      </c>
    </row>
    <row r="125" spans="1:58" s="68" customFormat="1" ht="17.850000000000001" customHeight="1">
      <c r="A125" s="142" t="s">
        <v>95</v>
      </c>
      <c r="B125" s="142">
        <v>30088596</v>
      </c>
      <c r="C125" s="17" t="s">
        <v>1235</v>
      </c>
      <c r="D125" s="142" t="s">
        <v>1236</v>
      </c>
      <c r="E125" s="142" t="s">
        <v>1237</v>
      </c>
      <c r="F125" s="160" t="s">
        <v>1238</v>
      </c>
      <c r="G125" s="160" t="s">
        <v>80</v>
      </c>
      <c r="H125" s="142" t="s">
        <v>1239</v>
      </c>
      <c r="I125" s="132" t="s">
        <v>76</v>
      </c>
      <c r="J125" s="62" t="s">
        <v>62</v>
      </c>
      <c r="K125" s="132" t="s">
        <v>63</v>
      </c>
      <c r="L125" s="62" t="s">
        <v>78</v>
      </c>
      <c r="M125" s="62" t="s">
        <v>1239</v>
      </c>
      <c r="N125" s="62" t="s">
        <v>152</v>
      </c>
      <c r="O125" s="62">
        <v>1012</v>
      </c>
      <c r="P125" s="62" t="s">
        <v>104</v>
      </c>
      <c r="Q125" s="158">
        <f>'[1]FEBE Academics 2024'!R123</f>
        <v>31615</v>
      </c>
      <c r="R125" s="111">
        <f ca="1">YEARFRAC(Q125,TODAY())</f>
        <v>40.036111111111111</v>
      </c>
      <c r="S125" s="158">
        <f>EDATE(Q125,12*65)</f>
        <v>55356</v>
      </c>
      <c r="T125" s="62">
        <v>30110521</v>
      </c>
      <c r="U125" s="62" t="s">
        <v>105</v>
      </c>
      <c r="V125" s="62" t="s">
        <v>106</v>
      </c>
      <c r="W125" s="62" t="s">
        <v>107</v>
      </c>
      <c r="X125" s="142" t="s">
        <v>154</v>
      </c>
      <c r="Y125" s="161">
        <v>45735</v>
      </c>
      <c r="Z125" s="142" t="s">
        <v>0</v>
      </c>
      <c r="AA125" s="142" t="s">
        <v>0</v>
      </c>
      <c r="AB125" s="142" t="s">
        <v>0</v>
      </c>
      <c r="AC125" s="142" t="s">
        <v>0</v>
      </c>
      <c r="AD125" s="142" t="s">
        <v>0</v>
      </c>
      <c r="AE125" s="62" t="s">
        <v>0</v>
      </c>
      <c r="AF125" s="62" t="s">
        <v>0</v>
      </c>
      <c r="AG125" s="62" t="s">
        <v>0</v>
      </c>
      <c r="AH125" s="62" t="s">
        <v>0</v>
      </c>
      <c r="AI125" s="142" t="s">
        <v>0</v>
      </c>
      <c r="AJ125" s="142">
        <v>1</v>
      </c>
      <c r="AK125" s="143">
        <v>1.17</v>
      </c>
      <c r="AL125" s="142">
        <v>0.97</v>
      </c>
      <c r="AM125" s="43">
        <v>0.16669999999999999</v>
      </c>
      <c r="AN125" s="22"/>
      <c r="AO125" s="62" t="s">
        <v>0</v>
      </c>
      <c r="AP125" s="62" t="s">
        <v>0</v>
      </c>
      <c r="AQ125" s="205" t="s">
        <v>1270</v>
      </c>
      <c r="AR125" s="190"/>
      <c r="AS125" s="62" t="s">
        <v>0</v>
      </c>
      <c r="AT125" s="62" t="s">
        <v>0</v>
      </c>
      <c r="AU125" s="62" t="s">
        <v>0</v>
      </c>
      <c r="AV125" s="62" t="s">
        <v>0</v>
      </c>
      <c r="AW125" s="62">
        <v>5</v>
      </c>
      <c r="AX125" s="17">
        <v>8</v>
      </c>
      <c r="AY125" s="17" t="s">
        <v>0</v>
      </c>
      <c r="AZ125" s="17">
        <v>5</v>
      </c>
      <c r="BA125" s="17">
        <v>4</v>
      </c>
      <c r="BB125" s="162" t="s">
        <v>1240</v>
      </c>
      <c r="BC125" s="62" t="s">
        <v>0</v>
      </c>
      <c r="BD125" s="62" t="s">
        <v>0</v>
      </c>
      <c r="BE125" s="62" t="s">
        <v>0</v>
      </c>
      <c r="BF125" s="62" t="s">
        <v>0</v>
      </c>
    </row>
    <row r="126" spans="1:58" s="68" customFormat="1" ht="17.850000000000001" customHeight="1">
      <c r="A126" s="17" t="s">
        <v>95</v>
      </c>
      <c r="B126" s="17">
        <v>30010423</v>
      </c>
      <c r="C126" s="17" t="s">
        <v>1189</v>
      </c>
      <c r="D126" s="17" t="s">
        <v>1190</v>
      </c>
      <c r="E126" s="17" t="s">
        <v>1191</v>
      </c>
      <c r="F126" s="19" t="s">
        <v>1192</v>
      </c>
      <c r="G126" s="19" t="s">
        <v>74</v>
      </c>
      <c r="H126" s="17" t="s">
        <v>60</v>
      </c>
      <c r="I126" s="19" t="s">
        <v>76</v>
      </c>
      <c r="J126" s="17" t="s">
        <v>77</v>
      </c>
      <c r="K126" s="19" t="s">
        <v>63</v>
      </c>
      <c r="L126" s="17" t="s">
        <v>78</v>
      </c>
      <c r="M126" s="17" t="s">
        <v>60</v>
      </c>
      <c r="N126" s="17" t="s">
        <v>65</v>
      </c>
      <c r="O126" s="17">
        <v>1012</v>
      </c>
      <c r="P126" s="17" t="s">
        <v>104</v>
      </c>
      <c r="Q126" s="20">
        <f>'[1]FEBE Academics 2024'!R125</f>
        <v>22722</v>
      </c>
      <c r="R126" s="21">
        <f ca="1">YEARFRAC(Q126,TODAY())</f>
        <v>64.38333333333334</v>
      </c>
      <c r="S126" s="20">
        <f>EDATE(Q126,12*65)</f>
        <v>46463</v>
      </c>
      <c r="T126" s="17">
        <v>30110521</v>
      </c>
      <c r="U126" s="17" t="s">
        <v>105</v>
      </c>
      <c r="V126" s="17" t="s">
        <v>106</v>
      </c>
      <c r="W126" s="17" t="s">
        <v>107</v>
      </c>
      <c r="X126" s="22" t="s">
        <v>230</v>
      </c>
      <c r="Y126" s="23">
        <v>30651</v>
      </c>
      <c r="Z126" s="22" t="s">
        <v>0</v>
      </c>
      <c r="AA126" s="22" t="s">
        <v>0</v>
      </c>
      <c r="AB126" s="22" t="s">
        <v>0</v>
      </c>
      <c r="AC126" s="22" t="s">
        <v>0</v>
      </c>
      <c r="AD126" s="22" t="s">
        <v>0</v>
      </c>
      <c r="AE126" s="17" t="s">
        <v>0</v>
      </c>
      <c r="AF126" s="17" t="s">
        <v>0</v>
      </c>
      <c r="AG126" s="17" t="s">
        <v>0</v>
      </c>
      <c r="AH126" s="17" t="s">
        <v>0</v>
      </c>
      <c r="AI126" s="17" t="s">
        <v>0</v>
      </c>
      <c r="AJ126" s="22">
        <v>0.5</v>
      </c>
      <c r="AK126" s="22">
        <v>0</v>
      </c>
      <c r="AL126" s="22">
        <v>0</v>
      </c>
      <c r="AM126" s="32">
        <v>0</v>
      </c>
      <c r="AN126" s="22"/>
      <c r="AO126" s="17" t="s">
        <v>0</v>
      </c>
      <c r="AP126" s="17" t="s">
        <v>0</v>
      </c>
      <c r="AQ126" s="206"/>
      <c r="AR126" s="18" t="s">
        <v>1270</v>
      </c>
      <c r="AS126" s="17" t="s">
        <v>0</v>
      </c>
      <c r="AT126" s="17" t="s">
        <v>0</v>
      </c>
      <c r="AU126" s="17" t="s">
        <v>0</v>
      </c>
      <c r="AV126" s="17" t="s">
        <v>0</v>
      </c>
      <c r="AW126" s="18" t="s">
        <v>0</v>
      </c>
      <c r="AX126" s="17">
        <v>0</v>
      </c>
      <c r="AY126" s="17" t="s">
        <v>0</v>
      </c>
      <c r="AZ126" s="17" t="s">
        <v>0</v>
      </c>
      <c r="BA126" s="17">
        <v>0</v>
      </c>
      <c r="BB126" s="17" t="s">
        <v>94</v>
      </c>
      <c r="BC126" s="17" t="s">
        <v>0</v>
      </c>
      <c r="BD126" s="17" t="s">
        <v>0</v>
      </c>
      <c r="BE126" s="18" t="s">
        <v>0</v>
      </c>
      <c r="BF126" s="18" t="s">
        <v>0</v>
      </c>
    </row>
    <row r="127" spans="1:58" s="68" customFormat="1" ht="17.850000000000001" customHeight="1">
      <c r="A127" s="17" t="s">
        <v>69</v>
      </c>
      <c r="B127" s="17">
        <v>30010539</v>
      </c>
      <c r="C127" s="17" t="s">
        <v>824</v>
      </c>
      <c r="D127" s="17" t="s">
        <v>825</v>
      </c>
      <c r="E127" s="17" t="s">
        <v>826</v>
      </c>
      <c r="F127" s="19" t="s">
        <v>827</v>
      </c>
      <c r="G127" s="19" t="s">
        <v>80</v>
      </c>
      <c r="H127" s="17" t="s">
        <v>102</v>
      </c>
      <c r="I127" s="19" t="s">
        <v>76</v>
      </c>
      <c r="J127" s="17" t="s">
        <v>62</v>
      </c>
      <c r="K127" s="19" t="s">
        <v>63</v>
      </c>
      <c r="L127" s="17" t="s">
        <v>78</v>
      </c>
      <c r="M127" s="17" t="s">
        <v>102</v>
      </c>
      <c r="N127" s="17" t="s">
        <v>65</v>
      </c>
      <c r="O127" s="17">
        <v>580</v>
      </c>
      <c r="P127" s="17" t="s">
        <v>79</v>
      </c>
      <c r="Q127" s="20">
        <f>'[1]FEBE Academics 2024'!R127</f>
        <v>29824</v>
      </c>
      <c r="R127" s="21">
        <f ca="1">YEARFRAC(Q127,TODAY())</f>
        <v>44.94166666666667</v>
      </c>
      <c r="S127" s="20">
        <f>EDATE(Q127,12*65)</f>
        <v>53565</v>
      </c>
      <c r="T127" s="17">
        <v>30000294</v>
      </c>
      <c r="U127" s="17" t="s">
        <v>80</v>
      </c>
      <c r="V127" s="17" t="s">
        <v>81</v>
      </c>
      <c r="W127" s="17" t="s">
        <v>82</v>
      </c>
      <c r="X127" s="22" t="s">
        <v>113</v>
      </c>
      <c r="Y127" s="23">
        <v>45735</v>
      </c>
      <c r="Z127" s="34" t="s">
        <v>0</v>
      </c>
      <c r="AA127" s="34" t="s">
        <v>0</v>
      </c>
      <c r="AB127" s="34" t="s">
        <v>0</v>
      </c>
      <c r="AC127" s="34" t="s">
        <v>0</v>
      </c>
      <c r="AD127" s="34" t="s">
        <v>0</v>
      </c>
      <c r="AE127" s="18" t="s">
        <v>0</v>
      </c>
      <c r="AF127" s="18" t="s">
        <v>0</v>
      </c>
      <c r="AG127" s="18" t="s">
        <v>0</v>
      </c>
      <c r="AH127" s="17" t="s">
        <v>0</v>
      </c>
      <c r="AI127" s="17" t="s">
        <v>0</v>
      </c>
      <c r="AJ127" s="22">
        <v>1</v>
      </c>
      <c r="AK127" s="36">
        <v>0.83</v>
      </c>
      <c r="AL127" s="22">
        <v>1.96</v>
      </c>
      <c r="AM127" s="39">
        <f>0.3333+0.5+0.3333+0.5+0.5+0.1667+0.1667+0.1667+0.1667</f>
        <v>2.8334000000000001</v>
      </c>
      <c r="AN127" s="17">
        <v>1.7499</v>
      </c>
      <c r="AO127" s="17" t="s">
        <v>0</v>
      </c>
      <c r="AP127" s="17" t="s">
        <v>0</v>
      </c>
      <c r="AQ127" s="206"/>
      <c r="AR127" s="18" t="s">
        <v>1270</v>
      </c>
      <c r="AS127" s="18" t="s">
        <v>0</v>
      </c>
      <c r="AT127" s="18" t="s">
        <v>0</v>
      </c>
      <c r="AU127" s="18" t="s">
        <v>0</v>
      </c>
      <c r="AV127" s="18">
        <v>30</v>
      </c>
      <c r="AW127" s="18">
        <v>6</v>
      </c>
      <c r="AX127" s="17">
        <v>9</v>
      </c>
      <c r="AY127" s="17">
        <v>3</v>
      </c>
      <c r="AZ127" s="17">
        <v>5</v>
      </c>
      <c r="BA127" s="17">
        <v>6</v>
      </c>
      <c r="BB127" s="18" t="s">
        <v>94</v>
      </c>
      <c r="BC127" s="18">
        <v>4</v>
      </c>
      <c r="BD127" s="18">
        <v>1</v>
      </c>
      <c r="BE127" s="18" t="s">
        <v>0</v>
      </c>
      <c r="BF127" s="18" t="s">
        <v>0</v>
      </c>
    </row>
    <row r="128" spans="1:58" s="47" customFormat="1" ht="17.850000000000001" customHeight="1">
      <c r="A128" s="27" t="s">
        <v>69</v>
      </c>
      <c r="B128" s="27">
        <v>30106667</v>
      </c>
      <c r="C128" s="27" t="s">
        <v>699</v>
      </c>
      <c r="D128" s="27" t="s">
        <v>700</v>
      </c>
      <c r="E128" s="27" t="s">
        <v>701</v>
      </c>
      <c r="F128" s="29" t="s">
        <v>434</v>
      </c>
      <c r="G128" s="29" t="s">
        <v>74</v>
      </c>
      <c r="H128" s="27" t="s">
        <v>568</v>
      </c>
      <c r="I128" s="29" t="s">
        <v>76</v>
      </c>
      <c r="J128" s="27" t="s">
        <v>62</v>
      </c>
      <c r="K128" s="29" t="s">
        <v>120</v>
      </c>
      <c r="L128" s="27" t="s">
        <v>78</v>
      </c>
      <c r="M128" s="27" t="s">
        <v>121</v>
      </c>
      <c r="N128" s="27" t="s">
        <v>65</v>
      </c>
      <c r="O128" s="27"/>
      <c r="P128" s="27"/>
      <c r="Q128" s="122">
        <v>34284</v>
      </c>
      <c r="R128" s="31">
        <f ca="1">YEARFRAC(Q128,TODAY())</f>
        <v>32.733333333333334</v>
      </c>
      <c r="S128" s="30">
        <f>EDATE(Q128,12*65)</f>
        <v>58025</v>
      </c>
      <c r="T128" s="27">
        <v>30000294</v>
      </c>
      <c r="U128" s="27" t="s">
        <v>105</v>
      </c>
      <c r="V128" s="27" t="s">
        <v>81</v>
      </c>
      <c r="W128" s="27" t="s">
        <v>82</v>
      </c>
      <c r="X128" s="123" t="s">
        <v>702</v>
      </c>
      <c r="Y128" s="115">
        <v>45292</v>
      </c>
      <c r="Z128" s="27"/>
      <c r="AA128" s="27"/>
      <c r="AB128" s="27"/>
      <c r="AC128" s="27"/>
      <c r="AD128" s="27"/>
      <c r="AE128" s="27"/>
      <c r="AF128" s="27"/>
      <c r="AG128" s="27"/>
      <c r="AH128" s="27"/>
      <c r="AI128" s="27"/>
      <c r="AJ128" s="27"/>
      <c r="AK128" s="27"/>
      <c r="AL128" s="27"/>
      <c r="AM128" s="27"/>
      <c r="AN128" s="17"/>
      <c r="AO128" s="27"/>
      <c r="AP128" s="27"/>
      <c r="AQ128" s="206"/>
      <c r="AR128" s="18" t="s">
        <v>1270</v>
      </c>
      <c r="AS128" s="27"/>
      <c r="AT128" s="27"/>
      <c r="AU128" s="27"/>
      <c r="AV128" s="27"/>
      <c r="AW128" s="27"/>
      <c r="AX128" s="27"/>
      <c r="AY128" s="27"/>
      <c r="AZ128" s="27"/>
      <c r="BA128" s="27"/>
      <c r="BB128" s="27"/>
      <c r="BC128" s="27"/>
      <c r="BD128" s="27"/>
      <c r="BE128" s="27"/>
      <c r="BF128" s="27"/>
    </row>
    <row r="129" spans="1:58" s="68" customFormat="1" ht="17.850000000000001" customHeight="1">
      <c r="A129" s="17" t="s">
        <v>69</v>
      </c>
      <c r="B129" s="17">
        <v>30099657</v>
      </c>
      <c r="C129" s="17" t="s">
        <v>898</v>
      </c>
      <c r="D129" s="17" t="s">
        <v>899</v>
      </c>
      <c r="E129" s="17" t="s">
        <v>900</v>
      </c>
      <c r="F129" s="19" t="s">
        <v>901</v>
      </c>
      <c r="G129" s="19" t="s">
        <v>59</v>
      </c>
      <c r="H129" s="17" t="s">
        <v>60</v>
      </c>
      <c r="I129" s="19" t="s">
        <v>61</v>
      </c>
      <c r="J129" s="17" t="s">
        <v>197</v>
      </c>
      <c r="K129" s="19" t="s">
        <v>63</v>
      </c>
      <c r="L129" s="17" t="s">
        <v>78</v>
      </c>
      <c r="M129" s="17" t="s">
        <v>60</v>
      </c>
      <c r="N129" s="17" t="s">
        <v>65</v>
      </c>
      <c r="O129" s="17">
        <v>594</v>
      </c>
      <c r="P129" s="17" t="s">
        <v>170</v>
      </c>
      <c r="Q129" s="20">
        <f>'[1]FEBE Academics 2024'!R128</f>
        <v>33806</v>
      </c>
      <c r="R129" s="21">
        <f ca="1">YEARFRAC(Q129,TODAY())</f>
        <v>34.038888888888891</v>
      </c>
      <c r="S129" s="20">
        <f>EDATE(Q129,12*65)</f>
        <v>57547</v>
      </c>
      <c r="T129" s="17">
        <v>30000294</v>
      </c>
      <c r="U129" s="17" t="s">
        <v>80</v>
      </c>
      <c r="V129" s="17" t="s">
        <v>81</v>
      </c>
      <c r="W129" s="17" t="s">
        <v>82</v>
      </c>
      <c r="X129" s="22" t="s">
        <v>487</v>
      </c>
      <c r="Y129" s="23">
        <v>46010</v>
      </c>
      <c r="Z129" s="52" t="s">
        <v>902</v>
      </c>
      <c r="AA129" s="34">
        <v>2023</v>
      </c>
      <c r="AB129" s="34">
        <v>2026</v>
      </c>
      <c r="AC129" s="34" t="s">
        <v>473</v>
      </c>
      <c r="AD129" s="34" t="s">
        <v>0</v>
      </c>
      <c r="AE129" s="18" t="s">
        <v>0</v>
      </c>
      <c r="AF129" s="18" t="s">
        <v>0</v>
      </c>
      <c r="AG129" s="18" t="s">
        <v>0</v>
      </c>
      <c r="AH129" s="17" t="s">
        <v>0</v>
      </c>
      <c r="AI129" s="17" t="s">
        <v>0</v>
      </c>
      <c r="AJ129" s="22">
        <v>0.5</v>
      </c>
      <c r="AK129" s="22">
        <v>0</v>
      </c>
      <c r="AL129" s="22">
        <v>0</v>
      </c>
      <c r="AM129" s="18">
        <v>0</v>
      </c>
      <c r="AN129" s="17">
        <v>0.1</v>
      </c>
      <c r="AO129" s="17" t="s">
        <v>0</v>
      </c>
      <c r="AP129" s="17" t="s">
        <v>0</v>
      </c>
      <c r="AQ129" s="206"/>
      <c r="AR129" s="18" t="s">
        <v>1270</v>
      </c>
      <c r="AS129" s="18" t="s">
        <v>0</v>
      </c>
      <c r="AT129" s="18" t="s">
        <v>0</v>
      </c>
      <c r="AU129" s="18" t="s">
        <v>0</v>
      </c>
      <c r="AV129" s="18">
        <v>1</v>
      </c>
      <c r="AW129" s="18">
        <v>0</v>
      </c>
      <c r="AX129" s="17">
        <v>0</v>
      </c>
      <c r="AY129" s="17">
        <v>1</v>
      </c>
      <c r="AZ129" s="17">
        <v>1</v>
      </c>
      <c r="BA129" s="17">
        <v>1</v>
      </c>
      <c r="BB129" s="40" t="s">
        <v>903</v>
      </c>
      <c r="BC129" s="18" t="s">
        <v>0</v>
      </c>
      <c r="BD129" s="18" t="s">
        <v>0</v>
      </c>
      <c r="BE129" s="18" t="s">
        <v>0</v>
      </c>
      <c r="BF129" s="18" t="s">
        <v>0</v>
      </c>
    </row>
    <row r="130" spans="1:58" s="68" customFormat="1" ht="17.850000000000001" customHeight="1">
      <c r="A130" s="17" t="s">
        <v>54</v>
      </c>
      <c r="B130" s="17">
        <v>30110886</v>
      </c>
      <c r="C130" s="17" t="s">
        <v>621</v>
      </c>
      <c r="D130" s="17" t="s">
        <v>622</v>
      </c>
      <c r="E130" s="17" t="s">
        <v>623</v>
      </c>
      <c r="F130" s="19" t="s">
        <v>624</v>
      </c>
      <c r="G130" s="19" t="s">
        <v>59</v>
      </c>
      <c r="H130" s="17" t="s">
        <v>60</v>
      </c>
      <c r="I130" s="19" t="s">
        <v>61</v>
      </c>
      <c r="J130" s="17" t="s">
        <v>62</v>
      </c>
      <c r="K130" s="19" t="s">
        <v>63</v>
      </c>
      <c r="L130" s="17" t="s">
        <v>78</v>
      </c>
      <c r="M130" s="17" t="s">
        <v>140</v>
      </c>
      <c r="N130" s="17" t="s">
        <v>122</v>
      </c>
      <c r="O130" s="17">
        <v>594</v>
      </c>
      <c r="P130" s="17" t="s">
        <v>170</v>
      </c>
      <c r="Q130" s="50"/>
      <c r="R130" s="17"/>
      <c r="S130" s="17"/>
      <c r="T130" s="17">
        <v>30007204</v>
      </c>
      <c r="U130" s="17" t="s">
        <v>59</v>
      </c>
      <c r="V130" s="17" t="s">
        <v>66</v>
      </c>
      <c r="W130" s="17" t="s">
        <v>67</v>
      </c>
      <c r="X130" s="17" t="s">
        <v>142</v>
      </c>
      <c r="Y130" s="51">
        <v>44927</v>
      </c>
      <c r="Z130" s="17"/>
      <c r="AA130" s="17"/>
      <c r="AB130" s="17"/>
      <c r="AC130" s="17"/>
      <c r="AD130" s="17"/>
      <c r="AE130" s="17"/>
      <c r="AF130" s="17"/>
      <c r="AG130" s="17"/>
      <c r="AH130" s="17"/>
      <c r="AI130" s="17"/>
      <c r="AJ130" s="17"/>
      <c r="AK130" s="17"/>
      <c r="AL130" s="17"/>
      <c r="AM130" s="17"/>
      <c r="AN130" s="17"/>
      <c r="AO130" s="17"/>
      <c r="AP130" s="17"/>
      <c r="AQ130" s="205" t="s">
        <v>1270</v>
      </c>
      <c r="AR130" s="18"/>
      <c r="AS130" s="17"/>
      <c r="AT130" s="17"/>
      <c r="AU130" s="17"/>
      <c r="AV130" s="17"/>
      <c r="AW130" s="27"/>
      <c r="AX130" s="27"/>
      <c r="AY130" s="27"/>
      <c r="AZ130" s="27"/>
      <c r="BA130" s="17"/>
      <c r="BB130" s="17"/>
      <c r="BC130" s="17"/>
      <c r="BD130" s="17"/>
      <c r="BE130" s="17"/>
      <c r="BF130" s="17"/>
    </row>
    <row r="131" spans="1:58" s="68" customFormat="1" ht="17.850000000000001" customHeight="1">
      <c r="A131" s="17" t="s">
        <v>95</v>
      </c>
      <c r="B131" s="17">
        <v>30082379</v>
      </c>
      <c r="C131" s="17" t="s">
        <v>1178</v>
      </c>
      <c r="D131" s="17" t="s">
        <v>1179</v>
      </c>
      <c r="E131" s="17" t="s">
        <v>1180</v>
      </c>
      <c r="F131" s="19" t="s">
        <v>1163</v>
      </c>
      <c r="G131" s="19" t="s">
        <v>74</v>
      </c>
      <c r="H131" s="17" t="s">
        <v>60</v>
      </c>
      <c r="I131" s="19" t="s">
        <v>76</v>
      </c>
      <c r="J131" s="17" t="s">
        <v>62</v>
      </c>
      <c r="K131" s="19" t="s">
        <v>63</v>
      </c>
      <c r="L131" s="17" t="s">
        <v>78</v>
      </c>
      <c r="M131" s="17" t="s">
        <v>60</v>
      </c>
      <c r="N131" s="17" t="s">
        <v>65</v>
      </c>
      <c r="O131" s="17">
        <v>1012</v>
      </c>
      <c r="P131" s="17" t="s">
        <v>104</v>
      </c>
      <c r="Q131" s="20">
        <f>'[1]FEBE Academics 2024'!R129</f>
        <v>27691</v>
      </c>
      <c r="R131" s="21">
        <f ca="1">YEARFRAC(Q131,TODAY())</f>
        <v>50.780555555555559</v>
      </c>
      <c r="S131" s="20">
        <f>EDATE(Q131,12*65)</f>
        <v>51433</v>
      </c>
      <c r="T131" s="17">
        <v>30110521</v>
      </c>
      <c r="U131" s="17" t="s">
        <v>105</v>
      </c>
      <c r="V131" s="17" t="s">
        <v>106</v>
      </c>
      <c r="W131" s="17" t="s">
        <v>107</v>
      </c>
      <c r="X131" s="22" t="s">
        <v>401</v>
      </c>
      <c r="Y131" s="23">
        <v>44155</v>
      </c>
      <c r="Z131" s="22" t="s">
        <v>356</v>
      </c>
      <c r="AA131" s="34">
        <v>2023</v>
      </c>
      <c r="AB131" s="34">
        <v>2026</v>
      </c>
      <c r="AC131" s="34" t="s">
        <v>85</v>
      </c>
      <c r="AD131" s="22" t="s">
        <v>0</v>
      </c>
      <c r="AE131" s="17" t="s">
        <v>0</v>
      </c>
      <c r="AF131" s="17" t="s">
        <v>0</v>
      </c>
      <c r="AG131" s="17" t="s">
        <v>0</v>
      </c>
      <c r="AH131" s="17" t="s">
        <v>0</v>
      </c>
      <c r="AI131" s="17" t="s">
        <v>0</v>
      </c>
      <c r="AJ131" s="22">
        <v>0.5</v>
      </c>
      <c r="AK131" s="22">
        <v>0</v>
      </c>
      <c r="AL131" s="22">
        <v>0.67</v>
      </c>
      <c r="AM131" s="32">
        <v>0</v>
      </c>
      <c r="AN131" s="22"/>
      <c r="AO131" s="17" t="s">
        <v>0</v>
      </c>
      <c r="AP131" s="17" t="s">
        <v>0</v>
      </c>
      <c r="AQ131" s="206"/>
      <c r="AR131" s="18" t="s">
        <v>1270</v>
      </c>
      <c r="AS131" s="17" t="s">
        <v>0</v>
      </c>
      <c r="AT131" s="17" t="s">
        <v>0</v>
      </c>
      <c r="AU131" s="17" t="s">
        <v>0</v>
      </c>
      <c r="AV131" s="17" t="s">
        <v>0</v>
      </c>
      <c r="AW131" s="18" t="s">
        <v>0</v>
      </c>
      <c r="AX131" s="17">
        <v>0</v>
      </c>
      <c r="AY131" s="17" t="s">
        <v>0</v>
      </c>
      <c r="AZ131" s="17" t="s">
        <v>0</v>
      </c>
      <c r="BA131" s="17">
        <v>0</v>
      </c>
      <c r="BB131" s="17" t="s">
        <v>94</v>
      </c>
      <c r="BC131" s="17" t="s">
        <v>0</v>
      </c>
      <c r="BD131" s="17" t="s">
        <v>0</v>
      </c>
      <c r="BE131" s="18" t="s">
        <v>0</v>
      </c>
      <c r="BF131" s="18" t="s">
        <v>0</v>
      </c>
    </row>
    <row r="132" spans="1:58" s="136" customFormat="1" ht="17.850000000000001" customHeight="1">
      <c r="A132" s="17" t="s">
        <v>260</v>
      </c>
      <c r="B132" s="17">
        <v>30107391</v>
      </c>
      <c r="C132" s="65" t="s">
        <v>734</v>
      </c>
      <c r="D132" s="17" t="s">
        <v>735</v>
      </c>
      <c r="E132" s="17" t="s">
        <v>736</v>
      </c>
      <c r="F132" s="19" t="s">
        <v>737</v>
      </c>
      <c r="G132" s="19" t="s">
        <v>181</v>
      </c>
      <c r="H132" s="17" t="s">
        <v>60</v>
      </c>
      <c r="I132" s="19" t="s">
        <v>76</v>
      </c>
      <c r="J132" s="17" t="s">
        <v>62</v>
      </c>
      <c r="K132" s="19" t="s">
        <v>63</v>
      </c>
      <c r="L132" s="17" t="s">
        <v>78</v>
      </c>
      <c r="M132" s="17" t="s">
        <v>60</v>
      </c>
      <c r="N132" s="17" t="s">
        <v>368</v>
      </c>
      <c r="O132" s="17">
        <v>1012</v>
      </c>
      <c r="P132" s="17" t="s">
        <v>104</v>
      </c>
      <c r="Q132" s="20">
        <f>'[1]FEBE Academics 2024'!R130</f>
        <v>31454</v>
      </c>
      <c r="R132" s="21">
        <f ca="1">YEARFRAC(Q132,TODAY())</f>
        <v>40.483333333333334</v>
      </c>
      <c r="S132" s="20">
        <f>EDATE(Q132,12*65)</f>
        <v>55195</v>
      </c>
      <c r="T132" s="17">
        <v>30010866</v>
      </c>
      <c r="U132" s="17" t="s">
        <v>265</v>
      </c>
      <c r="V132" s="17" t="s">
        <v>266</v>
      </c>
      <c r="W132" s="17" t="s">
        <v>267</v>
      </c>
      <c r="X132" s="22" t="s">
        <v>738</v>
      </c>
      <c r="Y132" s="23">
        <v>45858</v>
      </c>
      <c r="Z132" s="22" t="s">
        <v>739</v>
      </c>
      <c r="AA132" s="34">
        <v>2023</v>
      </c>
      <c r="AB132" s="34">
        <v>2025</v>
      </c>
      <c r="AC132" s="34" t="s">
        <v>740</v>
      </c>
      <c r="AD132" s="48" t="s">
        <v>741</v>
      </c>
      <c r="AE132" s="17" t="s">
        <v>0</v>
      </c>
      <c r="AF132" s="17" t="s">
        <v>0</v>
      </c>
      <c r="AG132" s="17" t="s">
        <v>0</v>
      </c>
      <c r="AH132" s="17" t="s">
        <v>0</v>
      </c>
      <c r="AI132" s="17" t="s">
        <v>0</v>
      </c>
      <c r="AJ132" s="22">
        <v>0.5</v>
      </c>
      <c r="AK132" s="22">
        <v>0</v>
      </c>
      <c r="AL132" s="22">
        <v>0</v>
      </c>
      <c r="AM132" s="22">
        <v>0</v>
      </c>
      <c r="AN132" s="22"/>
      <c r="AO132" s="17" t="s">
        <v>0</v>
      </c>
      <c r="AP132" s="17" t="s">
        <v>0</v>
      </c>
      <c r="AQ132" s="205" t="s">
        <v>1270</v>
      </c>
      <c r="AR132" s="18" t="s">
        <v>1270</v>
      </c>
      <c r="AS132" s="17" t="s">
        <v>0</v>
      </c>
      <c r="AT132" s="17" t="s">
        <v>0</v>
      </c>
      <c r="AU132" s="17" t="s">
        <v>0</v>
      </c>
      <c r="AV132" s="17" t="s">
        <v>0</v>
      </c>
      <c r="AW132" s="18">
        <v>0</v>
      </c>
      <c r="AX132" s="17">
        <v>0</v>
      </c>
      <c r="AY132" s="17" t="s">
        <v>0</v>
      </c>
      <c r="AZ132" s="17">
        <v>3</v>
      </c>
      <c r="BA132" s="17">
        <v>0</v>
      </c>
      <c r="BB132" s="17" t="s">
        <v>0</v>
      </c>
      <c r="BC132" s="18" t="s">
        <v>0</v>
      </c>
      <c r="BD132" s="18" t="s">
        <v>0</v>
      </c>
      <c r="BE132" s="18" t="s">
        <v>0</v>
      </c>
      <c r="BF132" s="18" t="s">
        <v>0</v>
      </c>
    </row>
    <row r="133" spans="1:58" ht="17.850000000000001" customHeight="1">
      <c r="A133" s="27" t="s">
        <v>217</v>
      </c>
      <c r="B133" s="27">
        <v>30010818</v>
      </c>
      <c r="C133" s="27" t="s">
        <v>364</v>
      </c>
      <c r="D133" s="27" t="s">
        <v>365</v>
      </c>
      <c r="E133" s="27" t="s">
        <v>366</v>
      </c>
      <c r="F133" s="29" t="s">
        <v>367</v>
      </c>
      <c r="G133" s="29" t="s">
        <v>80</v>
      </c>
      <c r="H133" s="27" t="s">
        <v>60</v>
      </c>
      <c r="I133" s="29" t="s">
        <v>61</v>
      </c>
      <c r="J133" s="27" t="s">
        <v>197</v>
      </c>
      <c r="K133" s="29" t="s">
        <v>63</v>
      </c>
      <c r="L133" s="27" t="s">
        <v>78</v>
      </c>
      <c r="M133" s="27" t="s">
        <v>60</v>
      </c>
      <c r="N133" s="27" t="s">
        <v>368</v>
      </c>
      <c r="O133" s="27">
        <v>1012</v>
      </c>
      <c r="P133" s="27" t="s">
        <v>104</v>
      </c>
      <c r="Q133" s="30">
        <f>'[1]FEBE Academics 2024'!R131</f>
        <v>24281</v>
      </c>
      <c r="R133" s="31">
        <f ca="1">YEARFRAC(Q133,TODAY())</f>
        <v>60.116666666666667</v>
      </c>
      <c r="S133" s="30">
        <f>EDATE(Q133,12*65)</f>
        <v>48022</v>
      </c>
      <c r="T133" s="27">
        <v>30007939</v>
      </c>
      <c r="U133" s="27" t="s">
        <v>74</v>
      </c>
      <c r="V133" s="27" t="s">
        <v>223</v>
      </c>
      <c r="W133" s="27" t="s">
        <v>224</v>
      </c>
      <c r="X133" s="32" t="s">
        <v>369</v>
      </c>
      <c r="Y133" s="33">
        <v>45727</v>
      </c>
      <c r="Z133" s="32" t="s">
        <v>0</v>
      </c>
      <c r="AA133" s="32" t="s">
        <v>0</v>
      </c>
      <c r="AB133" s="32" t="s">
        <v>0</v>
      </c>
      <c r="AC133" s="32" t="s">
        <v>0</v>
      </c>
      <c r="AD133" s="32" t="s">
        <v>0</v>
      </c>
      <c r="AE133" s="27" t="s">
        <v>0</v>
      </c>
      <c r="AF133" s="27" t="s">
        <v>0</v>
      </c>
      <c r="AG133" s="27" t="s">
        <v>0</v>
      </c>
      <c r="AH133" s="27" t="s">
        <v>0</v>
      </c>
      <c r="AI133" s="27" t="s">
        <v>0</v>
      </c>
      <c r="AJ133" s="32">
        <v>0.5</v>
      </c>
      <c r="AK133" s="32">
        <v>0</v>
      </c>
      <c r="AL133" s="32">
        <v>0</v>
      </c>
      <c r="AM133" s="27">
        <v>0</v>
      </c>
      <c r="AN133" s="17"/>
      <c r="AO133" s="27" t="s">
        <v>0</v>
      </c>
      <c r="AP133" s="27" t="s">
        <v>0</v>
      </c>
      <c r="AQ133" s="205" t="s">
        <v>1270</v>
      </c>
      <c r="AR133" s="18" t="s">
        <v>1270</v>
      </c>
      <c r="AS133" s="27" t="s">
        <v>0</v>
      </c>
      <c r="AT133" s="27" t="s">
        <v>0</v>
      </c>
      <c r="AU133" s="27" t="s">
        <v>0</v>
      </c>
      <c r="AV133" s="27" t="s">
        <v>0</v>
      </c>
      <c r="AW133" s="27" t="s">
        <v>0</v>
      </c>
      <c r="AX133" s="27">
        <v>0</v>
      </c>
      <c r="AY133" s="27" t="s">
        <v>0</v>
      </c>
      <c r="AZ133" s="27" t="s">
        <v>0</v>
      </c>
      <c r="BA133" s="27">
        <v>0</v>
      </c>
      <c r="BB133" s="27" t="s">
        <v>94</v>
      </c>
      <c r="BC133" s="27" t="s">
        <v>0</v>
      </c>
      <c r="BD133" s="27" t="s">
        <v>0</v>
      </c>
      <c r="BE133" s="27" t="s">
        <v>0</v>
      </c>
      <c r="BF133" s="27" t="s">
        <v>0</v>
      </c>
    </row>
    <row r="134" spans="1:58" s="47" customFormat="1" ht="17.850000000000001" customHeight="1">
      <c r="A134" s="17" t="s">
        <v>260</v>
      </c>
      <c r="B134" s="17">
        <v>30010866</v>
      </c>
      <c r="C134" s="200" t="s">
        <v>283</v>
      </c>
      <c r="D134" s="17" t="s">
        <v>284</v>
      </c>
      <c r="E134" s="17" t="s">
        <v>267</v>
      </c>
      <c r="F134" s="19" t="s">
        <v>257</v>
      </c>
      <c r="G134" s="19" t="s">
        <v>74</v>
      </c>
      <c r="H134" s="17" t="s">
        <v>102</v>
      </c>
      <c r="I134" s="19" t="s">
        <v>76</v>
      </c>
      <c r="J134" s="17" t="s">
        <v>197</v>
      </c>
      <c r="K134" s="19" t="s">
        <v>63</v>
      </c>
      <c r="L134" s="17" t="s">
        <v>78</v>
      </c>
      <c r="M134" s="17" t="s">
        <v>102</v>
      </c>
      <c r="N134" s="17" t="s">
        <v>65</v>
      </c>
      <c r="O134" s="17">
        <v>1012</v>
      </c>
      <c r="P134" s="17" t="s">
        <v>104</v>
      </c>
      <c r="Q134" s="20">
        <f>'[1]FEBE Academics 2024'!R132</f>
        <v>22136</v>
      </c>
      <c r="R134" s="21">
        <f ca="1">YEARFRAC(Q134,TODAY())</f>
        <v>65.99166666666666</v>
      </c>
      <c r="S134" s="20">
        <f>EDATE(Q134,12*65)</f>
        <v>45877</v>
      </c>
      <c r="T134" s="17">
        <v>30010866</v>
      </c>
      <c r="U134" s="17" t="s">
        <v>265</v>
      </c>
      <c r="V134" s="17" t="s">
        <v>266</v>
      </c>
      <c r="W134" s="17" t="s">
        <v>267</v>
      </c>
      <c r="X134" s="22" t="s">
        <v>193</v>
      </c>
      <c r="Y134" s="23">
        <v>35400</v>
      </c>
      <c r="Z134" s="22" t="s">
        <v>0</v>
      </c>
      <c r="AA134" s="22" t="s">
        <v>0</v>
      </c>
      <c r="AB134" s="22" t="s">
        <v>0</v>
      </c>
      <c r="AC134" s="22" t="s">
        <v>0</v>
      </c>
      <c r="AD134" s="22" t="s">
        <v>0</v>
      </c>
      <c r="AE134" s="17" t="s">
        <v>0</v>
      </c>
      <c r="AF134" s="17" t="s">
        <v>0</v>
      </c>
      <c r="AG134" s="17" t="s">
        <v>0</v>
      </c>
      <c r="AH134" s="17" t="s">
        <v>0</v>
      </c>
      <c r="AI134" s="17" t="s">
        <v>0</v>
      </c>
      <c r="AJ134" s="22">
        <v>1</v>
      </c>
      <c r="AK134" s="22">
        <v>0</v>
      </c>
      <c r="AL134" s="22">
        <v>0</v>
      </c>
      <c r="AM134" s="22">
        <v>0</v>
      </c>
      <c r="AN134" s="22"/>
      <c r="AO134" s="17" t="s">
        <v>0</v>
      </c>
      <c r="AP134" s="17" t="s">
        <v>0</v>
      </c>
      <c r="AQ134" s="205" t="s">
        <v>1270</v>
      </c>
      <c r="AR134" s="18"/>
      <c r="AS134" s="17" t="s">
        <v>0</v>
      </c>
      <c r="AT134" s="17" t="s">
        <v>0</v>
      </c>
      <c r="AU134" s="17" t="s">
        <v>0</v>
      </c>
      <c r="AV134" s="17" t="s">
        <v>0</v>
      </c>
      <c r="AW134" s="18" t="s">
        <v>0</v>
      </c>
      <c r="AX134" s="17">
        <v>0</v>
      </c>
      <c r="AY134" s="17" t="s">
        <v>0</v>
      </c>
      <c r="AZ134" s="17" t="s">
        <v>0</v>
      </c>
      <c r="BA134" s="17">
        <v>0</v>
      </c>
      <c r="BB134" s="17" t="s">
        <v>0</v>
      </c>
      <c r="BC134" s="18" t="s">
        <v>0</v>
      </c>
      <c r="BD134" s="18" t="s">
        <v>0</v>
      </c>
      <c r="BE134" s="18" t="s">
        <v>0</v>
      </c>
      <c r="BF134" s="18" t="s">
        <v>0</v>
      </c>
    </row>
    <row r="135" spans="1:58" s="47" customFormat="1" ht="17.850000000000001" customHeight="1">
      <c r="A135" s="34" t="s">
        <v>217</v>
      </c>
      <c r="B135" s="34">
        <v>30105055</v>
      </c>
      <c r="C135" s="34" t="s">
        <v>294</v>
      </c>
      <c r="D135" s="34" t="s">
        <v>295</v>
      </c>
      <c r="E135" s="34" t="s">
        <v>296</v>
      </c>
      <c r="F135" s="71" t="s">
        <v>297</v>
      </c>
      <c r="G135" s="71" t="s">
        <v>74</v>
      </c>
      <c r="H135" s="34" t="s">
        <v>298</v>
      </c>
      <c r="I135" s="72" t="s">
        <v>76</v>
      </c>
      <c r="J135" s="18" t="s">
        <v>77</v>
      </c>
      <c r="K135" s="72" t="s">
        <v>63</v>
      </c>
      <c r="L135" s="18" t="s">
        <v>222</v>
      </c>
      <c r="M135" s="18" t="s">
        <v>298</v>
      </c>
      <c r="N135" s="18" t="s">
        <v>65</v>
      </c>
      <c r="O135" s="18">
        <v>3020</v>
      </c>
      <c r="P135" s="18" t="s">
        <v>299</v>
      </c>
      <c r="Q135" s="20">
        <f>'[1]FEBE Academics 2024'!R133</f>
        <v>22763</v>
      </c>
      <c r="R135" s="21">
        <f ca="1">YEARFRAC(Q135,TODAY())</f>
        <v>64.272222222222226</v>
      </c>
      <c r="S135" s="20">
        <f>EDATE(Q135,12*65)</f>
        <v>46504</v>
      </c>
      <c r="T135" s="18">
        <v>30007939</v>
      </c>
      <c r="U135" s="18" t="s">
        <v>74</v>
      </c>
      <c r="V135" s="18" t="s">
        <v>223</v>
      </c>
      <c r="W135" s="18" t="s">
        <v>224</v>
      </c>
      <c r="X135" s="34" t="s">
        <v>300</v>
      </c>
      <c r="Y135" s="73">
        <v>39790</v>
      </c>
      <c r="Z135" s="34" t="s">
        <v>0</v>
      </c>
      <c r="AA135" s="34" t="s">
        <v>0</v>
      </c>
      <c r="AB135" s="34" t="s">
        <v>0</v>
      </c>
      <c r="AC135" s="34" t="s">
        <v>0</v>
      </c>
      <c r="AD135" s="34" t="s">
        <v>0</v>
      </c>
      <c r="AE135" s="18" t="s">
        <v>0</v>
      </c>
      <c r="AF135" s="18" t="s">
        <v>0</v>
      </c>
      <c r="AG135" s="18" t="s">
        <v>0</v>
      </c>
      <c r="AH135" s="18" t="s">
        <v>0</v>
      </c>
      <c r="AI135" s="18" t="s">
        <v>0</v>
      </c>
      <c r="AJ135" s="34">
        <v>0.25</v>
      </c>
      <c r="AK135" s="34">
        <v>0</v>
      </c>
      <c r="AL135" s="34">
        <v>0</v>
      </c>
      <c r="AM135" s="18">
        <v>0</v>
      </c>
      <c r="AN135" s="17"/>
      <c r="AO135" s="18" t="s">
        <v>0</v>
      </c>
      <c r="AP135" s="18" t="s">
        <v>0</v>
      </c>
      <c r="AQ135" s="18" t="s">
        <v>1270</v>
      </c>
      <c r="AR135" s="18"/>
      <c r="AS135" s="18" t="s">
        <v>0</v>
      </c>
      <c r="AT135" s="18" t="s">
        <v>0</v>
      </c>
      <c r="AU135" s="18" t="s">
        <v>0</v>
      </c>
      <c r="AV135" s="18" t="s">
        <v>0</v>
      </c>
      <c r="AW135" s="18" t="s">
        <v>0</v>
      </c>
      <c r="AX135" s="18">
        <v>0</v>
      </c>
      <c r="AY135" s="18" t="s">
        <v>0</v>
      </c>
      <c r="AZ135" s="18" t="s">
        <v>0</v>
      </c>
      <c r="BA135" s="18">
        <v>0</v>
      </c>
      <c r="BB135" s="18" t="s">
        <v>94</v>
      </c>
      <c r="BC135" s="18" t="s">
        <v>0</v>
      </c>
      <c r="BD135" s="18" t="s">
        <v>0</v>
      </c>
      <c r="BE135" s="18" t="s">
        <v>0</v>
      </c>
      <c r="BF135" s="18" t="s">
        <v>0</v>
      </c>
    </row>
    <row r="136" spans="1:58" s="68" customFormat="1" ht="17.850000000000001" customHeight="1">
      <c r="A136" s="166" t="s">
        <v>69</v>
      </c>
      <c r="B136" s="166">
        <v>30111620</v>
      </c>
      <c r="C136" s="166" t="s">
        <v>843</v>
      </c>
      <c r="D136" s="166" t="s">
        <v>844</v>
      </c>
      <c r="E136" s="166" t="s">
        <v>845</v>
      </c>
      <c r="F136" s="167" t="s">
        <v>846</v>
      </c>
      <c r="G136" s="167" t="s">
        <v>59</v>
      </c>
      <c r="H136" s="166" t="s">
        <v>493</v>
      </c>
      <c r="I136" s="167" t="s">
        <v>61</v>
      </c>
      <c r="J136" s="166" t="s">
        <v>62</v>
      </c>
      <c r="K136" s="167" t="s">
        <v>63</v>
      </c>
      <c r="L136" s="166" t="s">
        <v>78</v>
      </c>
      <c r="M136" s="166" t="s">
        <v>112</v>
      </c>
      <c r="N136" s="166"/>
      <c r="O136" s="166"/>
      <c r="P136" s="166"/>
      <c r="Q136" s="168"/>
      <c r="R136" s="169"/>
      <c r="S136" s="168"/>
      <c r="T136" s="166"/>
      <c r="U136" s="166"/>
      <c r="V136" s="166"/>
      <c r="W136" s="166"/>
      <c r="X136" s="166" t="s">
        <v>385</v>
      </c>
      <c r="Y136" s="166"/>
      <c r="Z136" s="166"/>
      <c r="AA136" s="166"/>
      <c r="AB136" s="166"/>
      <c r="AC136" s="166"/>
      <c r="AD136" s="166"/>
      <c r="AE136" s="166"/>
      <c r="AF136" s="166"/>
      <c r="AG136" s="166"/>
      <c r="AH136" s="166"/>
      <c r="AI136" s="166"/>
      <c r="AJ136" s="166">
        <v>0</v>
      </c>
      <c r="AK136" s="166">
        <v>0</v>
      </c>
      <c r="AL136" s="166">
        <v>0</v>
      </c>
      <c r="AM136" s="166">
        <v>0</v>
      </c>
      <c r="AN136" s="170"/>
      <c r="AO136" s="166"/>
      <c r="AP136" s="166"/>
      <c r="AQ136" s="69" t="s">
        <v>1270</v>
      </c>
      <c r="AR136" s="18"/>
      <c r="AS136" s="166"/>
      <c r="AT136" s="166"/>
      <c r="AU136" s="166"/>
      <c r="AV136" s="166"/>
      <c r="AW136" s="166"/>
      <c r="AX136" s="166">
        <v>0</v>
      </c>
      <c r="AY136" s="166"/>
      <c r="AZ136" s="166"/>
      <c r="BA136" s="166">
        <v>0</v>
      </c>
      <c r="BB136" s="166"/>
      <c r="BC136" s="166"/>
      <c r="BD136" s="166"/>
      <c r="BE136" s="166"/>
      <c r="BF136" s="166"/>
    </row>
    <row r="137" spans="1:58" s="26" customFormat="1" ht="17.850000000000001" customHeight="1">
      <c r="A137" s="18" t="s">
        <v>69</v>
      </c>
      <c r="B137" s="18">
        <v>30083941</v>
      </c>
      <c r="C137" s="18" t="s">
        <v>1166</v>
      </c>
      <c r="D137" s="18" t="s">
        <v>1167</v>
      </c>
      <c r="E137" s="18" t="s">
        <v>1168</v>
      </c>
      <c r="F137" s="72" t="s">
        <v>1163</v>
      </c>
      <c r="G137" s="72" t="s">
        <v>74</v>
      </c>
      <c r="H137" s="18" t="s">
        <v>1169</v>
      </c>
      <c r="I137" s="19" t="s">
        <v>76</v>
      </c>
      <c r="J137" s="17" t="s">
        <v>62</v>
      </c>
      <c r="K137" s="19" t="s">
        <v>63</v>
      </c>
      <c r="L137" s="17" t="s">
        <v>64</v>
      </c>
      <c r="M137" s="17" t="s">
        <v>1169</v>
      </c>
      <c r="N137" s="17" t="s">
        <v>373</v>
      </c>
      <c r="O137" s="17">
        <v>2010</v>
      </c>
      <c r="P137" s="17" t="s">
        <v>91</v>
      </c>
      <c r="Q137" s="20">
        <f>'[1]FEBE Academics 2024'!R135</f>
        <v>26887</v>
      </c>
      <c r="R137" s="21">
        <f ca="1">YEARFRAC(Q137,TODAY())</f>
        <v>52.983333333333334</v>
      </c>
      <c r="S137" s="20">
        <f>EDATE(Q137,12*65)</f>
        <v>50628</v>
      </c>
      <c r="T137" s="17">
        <v>30000294</v>
      </c>
      <c r="U137" s="17" t="s">
        <v>80</v>
      </c>
      <c r="V137" s="17" t="s">
        <v>81</v>
      </c>
      <c r="W137" s="17" t="s">
        <v>82</v>
      </c>
      <c r="X137" s="22" t="s">
        <v>1170</v>
      </c>
      <c r="Y137" s="23">
        <v>45821</v>
      </c>
      <c r="Z137" s="52" t="s">
        <v>1171</v>
      </c>
      <c r="AA137" s="34">
        <v>2024</v>
      </c>
      <c r="AB137" s="34">
        <v>2026</v>
      </c>
      <c r="AC137" s="34" t="s">
        <v>85</v>
      </c>
      <c r="AD137" s="34" t="s">
        <v>0</v>
      </c>
      <c r="AE137" s="18" t="s">
        <v>0</v>
      </c>
      <c r="AF137" s="18" t="s">
        <v>0</v>
      </c>
      <c r="AG137" s="18" t="s">
        <v>0</v>
      </c>
      <c r="AH137" s="17" t="s">
        <v>0</v>
      </c>
      <c r="AI137" s="17" t="s">
        <v>0</v>
      </c>
      <c r="AJ137" s="22">
        <v>0.5</v>
      </c>
      <c r="AK137" s="22">
        <v>0</v>
      </c>
      <c r="AL137" s="22">
        <v>0</v>
      </c>
      <c r="AM137" s="18">
        <v>0</v>
      </c>
      <c r="AN137" s="17"/>
      <c r="AO137" s="17" t="s">
        <v>0</v>
      </c>
      <c r="AP137" s="17" t="s">
        <v>0</v>
      </c>
      <c r="AQ137" s="207"/>
      <c r="AR137" s="18" t="s">
        <v>1270</v>
      </c>
      <c r="AS137" s="18" t="s">
        <v>0</v>
      </c>
      <c r="AT137" s="18" t="s">
        <v>0</v>
      </c>
      <c r="AU137" s="18" t="s">
        <v>0</v>
      </c>
      <c r="AV137" s="18" t="s">
        <v>0</v>
      </c>
      <c r="AW137" s="18" t="s">
        <v>0</v>
      </c>
      <c r="AX137" s="17">
        <v>0</v>
      </c>
      <c r="AY137" s="17" t="s">
        <v>0</v>
      </c>
      <c r="AZ137" s="17" t="s">
        <v>0</v>
      </c>
      <c r="BA137" s="17">
        <v>0</v>
      </c>
      <c r="BB137" s="18" t="s">
        <v>0</v>
      </c>
      <c r="BC137" s="18" t="s">
        <v>0</v>
      </c>
      <c r="BD137" s="18" t="s">
        <v>0</v>
      </c>
      <c r="BE137" s="18" t="s">
        <v>0</v>
      </c>
      <c r="BF137" s="18" t="s">
        <v>0</v>
      </c>
    </row>
    <row r="138" spans="1:58" s="68" customFormat="1" ht="17.850000000000001" customHeight="1">
      <c r="A138" s="22" t="s">
        <v>95</v>
      </c>
      <c r="B138" s="17">
        <v>30111609</v>
      </c>
      <c r="C138" s="63" t="s">
        <v>754</v>
      </c>
      <c r="D138" s="17" t="s">
        <v>755</v>
      </c>
      <c r="E138" s="17" t="s">
        <v>756</v>
      </c>
      <c r="F138" s="19" t="s">
        <v>74</v>
      </c>
      <c r="G138" s="19" t="s">
        <v>80</v>
      </c>
      <c r="H138" s="17" t="s">
        <v>60</v>
      </c>
      <c r="I138" s="19" t="s">
        <v>61</v>
      </c>
      <c r="J138" s="17" t="s">
        <v>62</v>
      </c>
      <c r="K138" s="19" t="s">
        <v>63</v>
      </c>
      <c r="L138" s="17" t="s">
        <v>78</v>
      </c>
      <c r="M138" s="17"/>
      <c r="N138" s="17" t="s">
        <v>122</v>
      </c>
      <c r="O138" s="17">
        <v>1012</v>
      </c>
      <c r="P138" s="92" t="s">
        <v>104</v>
      </c>
      <c r="Q138" s="93">
        <v>33572</v>
      </c>
      <c r="R138" s="17">
        <f ca="1">DATEDIF(Q138, TODAY(), "Y")</f>
        <v>34</v>
      </c>
      <c r="S138" s="20">
        <f>EOMONTH(Q138, 65*12)</f>
        <v>57314</v>
      </c>
      <c r="T138" s="127">
        <v>30110521</v>
      </c>
      <c r="U138" s="92" t="s">
        <v>105</v>
      </c>
      <c r="V138" s="92" t="s">
        <v>106</v>
      </c>
      <c r="W138" s="92" t="s">
        <v>107</v>
      </c>
      <c r="X138" s="128" t="s">
        <v>142</v>
      </c>
      <c r="Y138" s="17"/>
      <c r="Z138" s="17"/>
      <c r="AA138" s="17"/>
      <c r="AB138" s="17"/>
      <c r="AC138" s="17"/>
      <c r="AD138" s="17"/>
      <c r="AE138" s="17"/>
      <c r="AF138" s="17"/>
      <c r="AG138" s="17"/>
      <c r="AH138" s="17"/>
      <c r="AI138" s="17"/>
      <c r="AJ138" s="17"/>
      <c r="AK138" s="17"/>
      <c r="AL138" s="17"/>
      <c r="AM138" s="22">
        <v>0</v>
      </c>
      <c r="AN138" s="22">
        <v>0.33329999999999999</v>
      </c>
      <c r="AO138" s="17"/>
      <c r="AP138" s="17"/>
      <c r="AQ138" s="206"/>
      <c r="AR138" s="18" t="s">
        <v>1270</v>
      </c>
      <c r="AS138" s="17"/>
      <c r="AT138" s="17"/>
      <c r="AU138" s="17"/>
      <c r="AV138" s="17"/>
      <c r="AW138" s="62"/>
      <c r="AX138" s="17">
        <v>12</v>
      </c>
      <c r="AY138" s="17"/>
      <c r="AZ138" s="17"/>
      <c r="BA138" s="17">
        <v>8</v>
      </c>
      <c r="BB138" s="17"/>
      <c r="BC138" s="17"/>
      <c r="BD138" s="17"/>
      <c r="BE138" s="17"/>
      <c r="BF138" s="17"/>
    </row>
    <row r="139" spans="1:58" s="171" customFormat="1" ht="17.850000000000001" customHeight="1">
      <c r="A139" s="17" t="s">
        <v>54</v>
      </c>
      <c r="B139" s="17">
        <v>30083810</v>
      </c>
      <c r="C139" s="17" t="s">
        <v>598</v>
      </c>
      <c r="D139" s="17" t="s">
        <v>599</v>
      </c>
      <c r="E139" s="17" t="s">
        <v>600</v>
      </c>
      <c r="F139" s="19" t="s">
        <v>601</v>
      </c>
      <c r="G139" s="19" t="s">
        <v>80</v>
      </c>
      <c r="H139" s="17" t="s">
        <v>253</v>
      </c>
      <c r="I139" s="19" t="s">
        <v>76</v>
      </c>
      <c r="J139" s="17" t="s">
        <v>62</v>
      </c>
      <c r="K139" s="19" t="s">
        <v>120</v>
      </c>
      <c r="L139" s="17" t="s">
        <v>78</v>
      </c>
      <c r="M139" s="17" t="s">
        <v>121</v>
      </c>
      <c r="N139" s="17" t="s">
        <v>122</v>
      </c>
      <c r="O139" s="17">
        <v>1012</v>
      </c>
      <c r="P139" s="17" t="s">
        <v>104</v>
      </c>
      <c r="Q139" s="50"/>
      <c r="R139" s="17"/>
      <c r="S139" s="17"/>
      <c r="T139" s="17">
        <v>30007204</v>
      </c>
      <c r="U139" s="17" t="s">
        <v>59</v>
      </c>
      <c r="V139" s="17" t="s">
        <v>66</v>
      </c>
      <c r="W139" s="17" t="s">
        <v>67</v>
      </c>
      <c r="X139" s="17" t="s">
        <v>142</v>
      </c>
      <c r="Y139" s="51">
        <v>35431</v>
      </c>
      <c r="Z139" s="17"/>
      <c r="AA139" s="17"/>
      <c r="AB139" s="17"/>
      <c r="AC139" s="17"/>
      <c r="AD139" s="17"/>
      <c r="AE139" s="17"/>
      <c r="AF139" s="17"/>
      <c r="AG139" s="17"/>
      <c r="AH139" s="17"/>
      <c r="AI139" s="17"/>
      <c r="AJ139" s="17"/>
      <c r="AK139" s="17"/>
      <c r="AL139" s="17"/>
      <c r="AM139" s="17"/>
      <c r="AN139" s="17">
        <v>0.16669999999999999</v>
      </c>
      <c r="AO139" s="17"/>
      <c r="AP139" s="17"/>
      <c r="AQ139" s="205" t="s">
        <v>1270</v>
      </c>
      <c r="AR139" s="18"/>
      <c r="AS139" s="17"/>
      <c r="AT139" s="17"/>
      <c r="AU139" s="17"/>
      <c r="AV139" s="17"/>
      <c r="AW139" s="17"/>
      <c r="AX139" s="17"/>
      <c r="AY139" s="17"/>
      <c r="AZ139" s="17"/>
      <c r="BA139" s="17"/>
      <c r="BB139" s="17"/>
      <c r="BC139" s="17"/>
      <c r="BD139" s="17"/>
      <c r="BE139" s="17"/>
      <c r="BF139" s="17"/>
    </row>
    <row r="140" spans="1:58" s="68" customFormat="1" ht="17.850000000000001" customHeight="1">
      <c r="A140" s="18" t="s">
        <v>95</v>
      </c>
      <c r="B140" s="18">
        <v>30079167</v>
      </c>
      <c r="C140" s="105" t="s">
        <v>447</v>
      </c>
      <c r="D140" s="18" t="s">
        <v>448</v>
      </c>
      <c r="E140" s="18" t="s">
        <v>449</v>
      </c>
      <c r="F140" s="19" t="s">
        <v>450</v>
      </c>
      <c r="G140" s="19" t="s">
        <v>80</v>
      </c>
      <c r="H140" s="17" t="s">
        <v>102</v>
      </c>
      <c r="I140" s="19" t="s">
        <v>76</v>
      </c>
      <c r="J140" s="17" t="s">
        <v>62</v>
      </c>
      <c r="K140" s="19" t="s">
        <v>63</v>
      </c>
      <c r="L140" s="17" t="s">
        <v>78</v>
      </c>
      <c r="M140" s="17" t="s">
        <v>102</v>
      </c>
      <c r="N140" s="17" t="s">
        <v>451</v>
      </c>
      <c r="O140" s="17">
        <v>1012</v>
      </c>
      <c r="P140" s="17" t="s">
        <v>104</v>
      </c>
      <c r="Q140" s="20">
        <f>'[1]FEBE Academics 2024'!R137</f>
        <v>26334</v>
      </c>
      <c r="R140" s="21">
        <f ca="1">YEARFRAC(Q140,TODAY())</f>
        <v>54.5</v>
      </c>
      <c r="S140" s="20">
        <f>EDATE(Q140,12*65)</f>
        <v>50076</v>
      </c>
      <c r="T140" s="17">
        <v>30110521</v>
      </c>
      <c r="U140" s="17" t="s">
        <v>105</v>
      </c>
      <c r="V140" s="17" t="s">
        <v>106</v>
      </c>
      <c r="W140" s="17" t="s">
        <v>107</v>
      </c>
      <c r="X140" s="22" t="s">
        <v>108</v>
      </c>
      <c r="Y140" s="23">
        <v>46000</v>
      </c>
      <c r="Z140" s="22" t="s">
        <v>0</v>
      </c>
      <c r="AA140" s="22" t="s">
        <v>0</v>
      </c>
      <c r="AB140" s="22" t="s">
        <v>0</v>
      </c>
      <c r="AC140" s="22" t="s">
        <v>0</v>
      </c>
      <c r="AD140" s="22" t="s">
        <v>0</v>
      </c>
      <c r="AE140" s="17" t="s">
        <v>0</v>
      </c>
      <c r="AF140" s="17" t="s">
        <v>0</v>
      </c>
      <c r="AG140" s="17" t="s">
        <v>0</v>
      </c>
      <c r="AH140" s="17" t="s">
        <v>0</v>
      </c>
      <c r="AI140" s="17" t="s">
        <v>0</v>
      </c>
      <c r="AJ140" s="22">
        <v>1</v>
      </c>
      <c r="AK140" s="22">
        <v>0</v>
      </c>
      <c r="AL140" s="22">
        <v>0</v>
      </c>
      <c r="AM140" s="32">
        <v>0</v>
      </c>
      <c r="AN140" s="22"/>
      <c r="AO140" s="17" t="s">
        <v>0</v>
      </c>
      <c r="AP140" s="17" t="s">
        <v>0</v>
      </c>
      <c r="AQ140" s="205" t="s">
        <v>1270</v>
      </c>
      <c r="AR140" s="18" t="s">
        <v>1270</v>
      </c>
      <c r="AS140" s="17" t="s">
        <v>0</v>
      </c>
      <c r="AT140" s="17" t="s">
        <v>0</v>
      </c>
      <c r="AU140" s="17" t="s">
        <v>0</v>
      </c>
      <c r="AV140" s="17" t="s">
        <v>0</v>
      </c>
      <c r="AW140" s="18" t="s">
        <v>0</v>
      </c>
      <c r="AX140" s="17">
        <v>0</v>
      </c>
      <c r="AY140" s="17" t="s">
        <v>0</v>
      </c>
      <c r="AZ140" s="17" t="s">
        <v>0</v>
      </c>
      <c r="BA140" s="17">
        <v>0</v>
      </c>
      <c r="BB140" s="17" t="s">
        <v>0</v>
      </c>
      <c r="BC140" s="18">
        <v>1</v>
      </c>
      <c r="BD140" s="18" t="s">
        <v>0</v>
      </c>
      <c r="BE140" s="18" t="s">
        <v>0</v>
      </c>
      <c r="BF140" s="18" t="s">
        <v>0</v>
      </c>
    </row>
    <row r="141" spans="1:58" s="47" customFormat="1" ht="17.850000000000001" customHeight="1">
      <c r="A141" s="17" t="s">
        <v>260</v>
      </c>
      <c r="B141" s="17">
        <v>30084022</v>
      </c>
      <c r="C141" s="17" t="s">
        <v>447</v>
      </c>
      <c r="D141" s="17" t="s">
        <v>1223</v>
      </c>
      <c r="E141" s="17" t="s">
        <v>1224</v>
      </c>
      <c r="F141" s="19" t="s">
        <v>1212</v>
      </c>
      <c r="G141" s="19" t="s">
        <v>74</v>
      </c>
      <c r="H141" s="17" t="s">
        <v>60</v>
      </c>
      <c r="I141" s="19" t="s">
        <v>76</v>
      </c>
      <c r="J141" s="17" t="s">
        <v>62</v>
      </c>
      <c r="K141" s="19" t="s">
        <v>63</v>
      </c>
      <c r="L141" s="17" t="s">
        <v>78</v>
      </c>
      <c r="M141" s="17" t="s">
        <v>60</v>
      </c>
      <c r="N141" s="17" t="s">
        <v>281</v>
      </c>
      <c r="O141" s="17">
        <v>1012</v>
      </c>
      <c r="P141" s="17" t="s">
        <v>104</v>
      </c>
      <c r="Q141" s="20">
        <f>'[1]FEBE Academics 2024'!R136</f>
        <v>23785</v>
      </c>
      <c r="R141" s="21">
        <f ca="1">YEARFRAC(Q141,TODAY())</f>
        <v>61.480555555555554</v>
      </c>
      <c r="S141" s="20">
        <f>EDATE(Q141,12*65)</f>
        <v>47526</v>
      </c>
      <c r="T141" s="17">
        <v>30010866</v>
      </c>
      <c r="U141" s="17" t="s">
        <v>265</v>
      </c>
      <c r="V141" s="17" t="s">
        <v>266</v>
      </c>
      <c r="W141" s="17" t="s">
        <v>267</v>
      </c>
      <c r="X141" s="22" t="s">
        <v>333</v>
      </c>
      <c r="Y141" s="23">
        <v>45906</v>
      </c>
      <c r="Z141" s="22" t="s">
        <v>1225</v>
      </c>
      <c r="AA141" s="34">
        <v>2019</v>
      </c>
      <c r="AB141" s="34">
        <v>2024</v>
      </c>
      <c r="AC141" s="34" t="s">
        <v>418</v>
      </c>
      <c r="AD141" s="22" t="s">
        <v>0</v>
      </c>
      <c r="AE141" s="17" t="s">
        <v>0</v>
      </c>
      <c r="AF141" s="17" t="s">
        <v>0</v>
      </c>
      <c r="AG141" s="17" t="s">
        <v>0</v>
      </c>
      <c r="AH141" s="17" t="s">
        <v>0</v>
      </c>
      <c r="AI141" s="17" t="s">
        <v>0</v>
      </c>
      <c r="AJ141" s="22">
        <v>0.5</v>
      </c>
      <c r="AK141" s="22">
        <v>0</v>
      </c>
      <c r="AL141" s="22">
        <v>0</v>
      </c>
      <c r="AM141" s="22">
        <v>0</v>
      </c>
      <c r="AN141" s="22"/>
      <c r="AO141" s="17" t="s">
        <v>0</v>
      </c>
      <c r="AP141" s="17" t="s">
        <v>0</v>
      </c>
      <c r="AQ141" s="205" t="s">
        <v>1270</v>
      </c>
      <c r="AR141" s="18"/>
      <c r="AS141" s="17" t="s">
        <v>0</v>
      </c>
      <c r="AT141" s="17" t="s">
        <v>0</v>
      </c>
      <c r="AU141" s="17" t="s">
        <v>0</v>
      </c>
      <c r="AV141" s="17" t="s">
        <v>0</v>
      </c>
      <c r="AW141" s="18" t="s">
        <v>0</v>
      </c>
      <c r="AX141" s="17">
        <v>0</v>
      </c>
      <c r="AY141" s="17" t="s">
        <v>0</v>
      </c>
      <c r="AZ141" s="17" t="s">
        <v>0</v>
      </c>
      <c r="BA141" s="17">
        <v>0</v>
      </c>
      <c r="BB141" s="17" t="s">
        <v>0</v>
      </c>
      <c r="BC141" s="18" t="s">
        <v>0</v>
      </c>
      <c r="BD141" s="18" t="s">
        <v>0</v>
      </c>
      <c r="BE141" s="18" t="s">
        <v>0</v>
      </c>
      <c r="BF141" s="18" t="s">
        <v>0</v>
      </c>
    </row>
    <row r="142" spans="1:58" s="68" customFormat="1" ht="17.850000000000001" customHeight="1">
      <c r="A142" s="17" t="s">
        <v>69</v>
      </c>
      <c r="B142" s="17">
        <v>30019892</v>
      </c>
      <c r="C142" s="17" t="s">
        <v>883</v>
      </c>
      <c r="D142" s="17" t="s">
        <v>884</v>
      </c>
      <c r="E142" s="17" t="s">
        <v>885</v>
      </c>
      <c r="F142" s="19" t="s">
        <v>76</v>
      </c>
      <c r="G142" s="19" t="s">
        <v>74</v>
      </c>
      <c r="H142" s="17" t="s">
        <v>60</v>
      </c>
      <c r="I142" s="19" t="s">
        <v>76</v>
      </c>
      <c r="J142" s="17" t="s">
        <v>62</v>
      </c>
      <c r="K142" s="19" t="s">
        <v>63</v>
      </c>
      <c r="L142" s="17" t="s">
        <v>64</v>
      </c>
      <c r="M142" s="17" t="s">
        <v>60</v>
      </c>
      <c r="N142" s="17" t="s">
        <v>65</v>
      </c>
      <c r="O142" s="17">
        <v>2020</v>
      </c>
      <c r="P142" s="17" t="s">
        <v>876</v>
      </c>
      <c r="Q142" s="20">
        <f>'[1]FEBE Academics 2024'!R185</f>
        <v>30409</v>
      </c>
      <c r="R142" s="21">
        <f ca="1">YEARFRAC(Q142,TODAY())</f>
        <v>43.338888888888889</v>
      </c>
      <c r="S142" s="20">
        <f>EDATE(Q142,12*65)</f>
        <v>54151</v>
      </c>
      <c r="T142" s="17">
        <v>30000294</v>
      </c>
      <c r="U142" s="17" t="s">
        <v>80</v>
      </c>
      <c r="V142" s="17" t="s">
        <v>81</v>
      </c>
      <c r="W142" s="17" t="s">
        <v>82</v>
      </c>
      <c r="X142" s="22" t="s">
        <v>92</v>
      </c>
      <c r="Y142" s="23">
        <v>45979</v>
      </c>
      <c r="Z142" s="34" t="s">
        <v>142</v>
      </c>
      <c r="AA142" s="34">
        <v>2023</v>
      </c>
      <c r="AB142" s="34">
        <v>2027</v>
      </c>
      <c r="AC142" s="34" t="s">
        <v>473</v>
      </c>
      <c r="AD142" s="34" t="s">
        <v>0</v>
      </c>
      <c r="AE142" s="83">
        <v>45149</v>
      </c>
      <c r="AF142" s="84" t="s">
        <v>886</v>
      </c>
      <c r="AG142" s="18" t="s">
        <v>0</v>
      </c>
      <c r="AH142" s="17" t="s">
        <v>0</v>
      </c>
      <c r="AI142" s="17" t="s">
        <v>0</v>
      </c>
      <c r="AJ142" s="22">
        <v>0.5</v>
      </c>
      <c r="AK142" s="36">
        <v>0.33</v>
      </c>
      <c r="AL142" s="22">
        <v>0.9</v>
      </c>
      <c r="AM142" s="39">
        <f>0.25+0.1667+0.2+0.2+0.3333+0.1667+0.1667+0.1667+0.1667+0.1667</f>
        <v>1.9835000000000003</v>
      </c>
      <c r="AN142" s="17">
        <v>1.9252000000000002</v>
      </c>
      <c r="AO142" s="17" t="s">
        <v>0</v>
      </c>
      <c r="AP142" s="17" t="s">
        <v>0</v>
      </c>
      <c r="AQ142" s="206"/>
      <c r="AR142" s="18" t="s">
        <v>1270</v>
      </c>
      <c r="AS142" s="18" t="s">
        <v>0</v>
      </c>
      <c r="AT142" s="18" t="s">
        <v>0</v>
      </c>
      <c r="AU142" s="18" t="s">
        <v>0</v>
      </c>
      <c r="AV142" s="18">
        <v>10</v>
      </c>
      <c r="AW142" s="18">
        <v>6</v>
      </c>
      <c r="AX142" s="17">
        <v>9</v>
      </c>
      <c r="AY142" s="17">
        <v>3</v>
      </c>
      <c r="AZ142" s="17">
        <v>3</v>
      </c>
      <c r="BA142" s="17">
        <v>6</v>
      </c>
      <c r="BB142" s="18" t="s">
        <v>887</v>
      </c>
      <c r="BC142" s="18">
        <v>2</v>
      </c>
      <c r="BD142" s="18" t="s">
        <v>0</v>
      </c>
      <c r="BE142" s="18">
        <v>2</v>
      </c>
      <c r="BF142" s="18" t="s">
        <v>0</v>
      </c>
    </row>
    <row r="143" spans="1:58" s="26" customFormat="1" ht="17.850000000000001" customHeight="1">
      <c r="A143" s="17" t="s">
        <v>69</v>
      </c>
      <c r="B143" s="17">
        <v>30105400</v>
      </c>
      <c r="C143" s="17" t="s">
        <v>1093</v>
      </c>
      <c r="D143" s="17" t="s">
        <v>1094</v>
      </c>
      <c r="E143" s="17" t="s">
        <v>1095</v>
      </c>
      <c r="F143" s="19" t="s">
        <v>171</v>
      </c>
      <c r="G143" s="19" t="s">
        <v>59</v>
      </c>
      <c r="H143" s="17" t="s">
        <v>253</v>
      </c>
      <c r="I143" s="19" t="s">
        <v>61</v>
      </c>
      <c r="J143" s="17" t="s">
        <v>62</v>
      </c>
      <c r="K143" s="19" t="s">
        <v>120</v>
      </c>
      <c r="L143" s="17" t="s">
        <v>64</v>
      </c>
      <c r="M143" s="17" t="s">
        <v>253</v>
      </c>
      <c r="N143" s="17" t="s">
        <v>65</v>
      </c>
      <c r="O143" s="17" t="s">
        <v>0</v>
      </c>
      <c r="P143" s="17" t="s">
        <v>0</v>
      </c>
      <c r="Q143" s="37">
        <f>'[1]FEBE Academics 2024'!R139</f>
        <v>26243</v>
      </c>
      <c r="R143" s="38">
        <f ca="1">YEARFRAC(Q143,TODAY())</f>
        <v>54.74722222222222</v>
      </c>
      <c r="S143" s="37">
        <f>EDATE(Q143,12*65)</f>
        <v>49985</v>
      </c>
      <c r="T143" s="17">
        <v>30000294</v>
      </c>
      <c r="U143" s="17" t="s">
        <v>80</v>
      </c>
      <c r="V143" s="17" t="s">
        <v>81</v>
      </c>
      <c r="W143" s="17" t="s">
        <v>82</v>
      </c>
      <c r="X143" s="22" t="s">
        <v>795</v>
      </c>
      <c r="Y143" s="23">
        <v>46014</v>
      </c>
      <c r="Z143" s="22" t="s">
        <v>0</v>
      </c>
      <c r="AA143" s="22" t="s">
        <v>0</v>
      </c>
      <c r="AB143" s="22" t="s">
        <v>0</v>
      </c>
      <c r="AC143" s="22" t="s">
        <v>0</v>
      </c>
      <c r="AD143" s="22" t="s">
        <v>0</v>
      </c>
      <c r="AE143" s="17" t="s">
        <v>0</v>
      </c>
      <c r="AF143" s="17" t="s">
        <v>0</v>
      </c>
      <c r="AG143" s="17" t="s">
        <v>0</v>
      </c>
      <c r="AH143" s="17" t="s">
        <v>0</v>
      </c>
      <c r="AI143" s="17" t="s">
        <v>0</v>
      </c>
      <c r="AJ143" s="22">
        <v>0.5</v>
      </c>
      <c r="AK143" s="22">
        <v>0</v>
      </c>
      <c r="AL143" s="22">
        <v>0</v>
      </c>
      <c r="AM143" s="17">
        <v>0</v>
      </c>
      <c r="AN143" s="17"/>
      <c r="AO143" s="17" t="s">
        <v>0</v>
      </c>
      <c r="AP143" s="17" t="s">
        <v>0</v>
      </c>
      <c r="AQ143" s="68"/>
      <c r="AR143" s="18" t="s">
        <v>1270</v>
      </c>
      <c r="AS143" s="17" t="s">
        <v>0</v>
      </c>
      <c r="AT143" s="17" t="s">
        <v>0</v>
      </c>
      <c r="AU143" s="17" t="s">
        <v>0</v>
      </c>
      <c r="AV143" s="17" t="s">
        <v>0</v>
      </c>
      <c r="AW143" s="39" t="s">
        <v>0</v>
      </c>
      <c r="AX143" s="17">
        <v>0</v>
      </c>
      <c r="AY143" s="17" t="s">
        <v>0</v>
      </c>
      <c r="AZ143" s="17" t="s">
        <v>0</v>
      </c>
      <c r="BA143" s="17">
        <v>0</v>
      </c>
      <c r="BB143" s="17" t="s">
        <v>0</v>
      </c>
      <c r="BC143" s="17" t="s">
        <v>0</v>
      </c>
      <c r="BD143" s="17" t="s">
        <v>0</v>
      </c>
      <c r="BE143" s="17" t="s">
        <v>0</v>
      </c>
      <c r="BF143" s="17" t="s">
        <v>0</v>
      </c>
    </row>
    <row r="144" spans="1:58" s="68" customFormat="1" ht="17.850000000000001" customHeight="1">
      <c r="A144" s="18" t="s">
        <v>54</v>
      </c>
      <c r="B144" s="18">
        <v>30085065</v>
      </c>
      <c r="C144" s="18" t="s">
        <v>641</v>
      </c>
      <c r="D144" s="18" t="s">
        <v>642</v>
      </c>
      <c r="E144" s="18" t="s">
        <v>643</v>
      </c>
      <c r="F144" s="19" t="s">
        <v>106</v>
      </c>
      <c r="G144" s="19" t="s">
        <v>80</v>
      </c>
      <c r="H144" s="17" t="s">
        <v>60</v>
      </c>
      <c r="I144" s="19" t="s">
        <v>76</v>
      </c>
      <c r="J144" s="17" t="s">
        <v>62</v>
      </c>
      <c r="K144" s="19" t="s">
        <v>63</v>
      </c>
      <c r="L144" s="17" t="s">
        <v>78</v>
      </c>
      <c r="M144" s="17" t="s">
        <v>60</v>
      </c>
      <c r="N144" s="17" t="s">
        <v>165</v>
      </c>
      <c r="O144" s="17">
        <v>594</v>
      </c>
      <c r="P144" s="17" t="s">
        <v>170</v>
      </c>
      <c r="Q144" s="20">
        <f>'[1]FEBE Academics 2024'!R140</f>
        <v>29635</v>
      </c>
      <c r="R144" s="21">
        <f ca="1">YEARFRAC(Q144,TODAY())</f>
        <v>45.463888888888889</v>
      </c>
      <c r="S144" s="20">
        <f>EDATE(Q144,12*65)</f>
        <v>53376</v>
      </c>
      <c r="T144" s="17">
        <v>30007204</v>
      </c>
      <c r="U144" s="17" t="s">
        <v>59</v>
      </c>
      <c r="V144" s="17" t="s">
        <v>66</v>
      </c>
      <c r="W144" s="17" t="s">
        <v>67</v>
      </c>
      <c r="X144" s="22" t="s">
        <v>644</v>
      </c>
      <c r="Y144" s="23">
        <v>46015</v>
      </c>
      <c r="Z144" s="34"/>
      <c r="AA144" s="34"/>
      <c r="AB144" s="34"/>
      <c r="AC144" s="34"/>
      <c r="AD144" s="34"/>
      <c r="AE144" s="18" t="s">
        <v>0</v>
      </c>
      <c r="AF144" s="18" t="s">
        <v>0</v>
      </c>
      <c r="AG144" s="18" t="s">
        <v>0</v>
      </c>
      <c r="AH144" s="17" t="s">
        <v>0</v>
      </c>
      <c r="AI144" s="17" t="s">
        <v>0</v>
      </c>
      <c r="AJ144" s="22">
        <v>0.5</v>
      </c>
      <c r="AK144" s="22">
        <v>0</v>
      </c>
      <c r="AL144" s="22">
        <v>0</v>
      </c>
      <c r="AM144" s="113">
        <f>0.3333+0.125</f>
        <v>0.45829999999999999</v>
      </c>
      <c r="AN144" s="114">
        <v>0.33339999999999997</v>
      </c>
      <c r="AO144" s="17" t="s">
        <v>0</v>
      </c>
      <c r="AP144" s="17" t="s">
        <v>0</v>
      </c>
      <c r="AQ144" s="205" t="s">
        <v>1270</v>
      </c>
      <c r="AR144" s="18" t="s">
        <v>1270</v>
      </c>
      <c r="AS144" s="18" t="s">
        <v>0</v>
      </c>
      <c r="AT144" s="18" t="s">
        <v>0</v>
      </c>
      <c r="AU144" s="18" t="s">
        <v>0</v>
      </c>
      <c r="AV144" s="18">
        <v>161</v>
      </c>
      <c r="AW144" s="18">
        <v>0</v>
      </c>
      <c r="AX144" s="17">
        <v>0</v>
      </c>
      <c r="AY144" s="17">
        <v>6</v>
      </c>
      <c r="AZ144" s="17">
        <v>6</v>
      </c>
      <c r="BA144" s="17">
        <v>5</v>
      </c>
      <c r="BB144" s="18" t="s">
        <v>645</v>
      </c>
      <c r="BC144" s="18">
        <v>8</v>
      </c>
      <c r="BD144" s="18" t="s">
        <v>0</v>
      </c>
      <c r="BE144" s="18" t="s">
        <v>0</v>
      </c>
      <c r="BF144" s="18" t="s">
        <v>0</v>
      </c>
    </row>
    <row r="145" spans="1:58" s="68" customFormat="1" ht="17.850000000000001" customHeight="1">
      <c r="A145" s="18" t="s">
        <v>54</v>
      </c>
      <c r="B145" s="18">
        <v>30087730</v>
      </c>
      <c r="C145" s="18" t="s">
        <v>370</v>
      </c>
      <c r="D145" s="18" t="s">
        <v>371</v>
      </c>
      <c r="E145" s="18" t="s">
        <v>372</v>
      </c>
      <c r="F145" s="19" t="s">
        <v>340</v>
      </c>
      <c r="G145" s="19" t="s">
        <v>74</v>
      </c>
      <c r="H145" s="17" t="s">
        <v>102</v>
      </c>
      <c r="I145" s="19" t="s">
        <v>76</v>
      </c>
      <c r="J145" s="17" t="s">
        <v>62</v>
      </c>
      <c r="K145" s="19" t="s">
        <v>63</v>
      </c>
      <c r="L145" s="17" t="s">
        <v>78</v>
      </c>
      <c r="M145" s="17" t="s">
        <v>102</v>
      </c>
      <c r="N145" s="17" t="s">
        <v>373</v>
      </c>
      <c r="O145" s="17">
        <v>594</v>
      </c>
      <c r="P145" s="17" t="s">
        <v>170</v>
      </c>
      <c r="Q145" s="20">
        <f>'[1]FEBE Academics 2024'!R141</f>
        <v>23710</v>
      </c>
      <c r="R145" s="21">
        <f ca="1">YEARFRAC(Q145,TODAY())</f>
        <v>61.68333333333333</v>
      </c>
      <c r="S145" s="20">
        <f>EDATE(Q145,12*65)</f>
        <v>47451</v>
      </c>
      <c r="T145" s="17">
        <v>30007204</v>
      </c>
      <c r="U145" s="17" t="s">
        <v>59</v>
      </c>
      <c r="V145" s="17" t="s">
        <v>66</v>
      </c>
      <c r="W145" s="17" t="s">
        <v>67</v>
      </c>
      <c r="X145" s="22" t="s">
        <v>374</v>
      </c>
      <c r="Y145" s="23">
        <v>35034</v>
      </c>
      <c r="Z145" s="34" t="s">
        <v>0</v>
      </c>
      <c r="AA145" s="34" t="s">
        <v>0</v>
      </c>
      <c r="AB145" s="34" t="s">
        <v>0</v>
      </c>
      <c r="AC145" s="34" t="s">
        <v>0</v>
      </c>
      <c r="AD145" s="34" t="s">
        <v>0</v>
      </c>
      <c r="AE145" s="18" t="s">
        <v>0</v>
      </c>
      <c r="AF145" s="18" t="s">
        <v>0</v>
      </c>
      <c r="AG145" s="18" t="s">
        <v>0</v>
      </c>
      <c r="AH145" s="17" t="s">
        <v>0</v>
      </c>
      <c r="AI145" s="17" t="s">
        <v>0</v>
      </c>
      <c r="AJ145" s="22">
        <v>1</v>
      </c>
      <c r="AK145" s="36">
        <v>0.33</v>
      </c>
      <c r="AL145" s="22">
        <v>0</v>
      </c>
      <c r="AM145" s="24">
        <v>0</v>
      </c>
      <c r="AN145" s="25"/>
      <c r="AO145" s="17" t="s">
        <v>0</v>
      </c>
      <c r="AP145" s="17" t="s">
        <v>0</v>
      </c>
      <c r="AQ145" s="205" t="s">
        <v>1270</v>
      </c>
      <c r="AR145" s="18" t="s">
        <v>1270</v>
      </c>
      <c r="AS145" s="18" t="s">
        <v>0</v>
      </c>
      <c r="AT145" s="18" t="s">
        <v>0</v>
      </c>
      <c r="AU145" s="18" t="s">
        <v>0</v>
      </c>
      <c r="AV145" s="18" t="s">
        <v>0</v>
      </c>
      <c r="AW145" s="18">
        <v>0</v>
      </c>
      <c r="AX145" s="17">
        <v>0</v>
      </c>
      <c r="AY145" s="17" t="s">
        <v>0</v>
      </c>
      <c r="AZ145" s="17">
        <v>1</v>
      </c>
      <c r="BA145" s="17">
        <v>1</v>
      </c>
      <c r="BB145" s="40" t="s">
        <v>375</v>
      </c>
      <c r="BC145" s="18" t="s">
        <v>0</v>
      </c>
      <c r="BD145" s="18" t="s">
        <v>0</v>
      </c>
      <c r="BE145" s="18" t="s">
        <v>0</v>
      </c>
      <c r="BF145" s="18" t="s">
        <v>0</v>
      </c>
    </row>
    <row r="146" spans="1:58" s="68" customFormat="1" ht="17.850000000000001" customHeight="1">
      <c r="A146" s="17" t="s">
        <v>54</v>
      </c>
      <c r="B146" s="17">
        <v>30094292</v>
      </c>
      <c r="C146" s="49" t="s">
        <v>161</v>
      </c>
      <c r="D146" s="17" t="s">
        <v>162</v>
      </c>
      <c r="E146" s="17" t="s">
        <v>163</v>
      </c>
      <c r="F146" s="19" t="s">
        <v>66</v>
      </c>
      <c r="G146" s="19" t="s">
        <v>74</v>
      </c>
      <c r="H146" s="17" t="s">
        <v>60</v>
      </c>
      <c r="I146" s="19" t="s">
        <v>76</v>
      </c>
      <c r="J146" s="17" t="s">
        <v>62</v>
      </c>
      <c r="K146" s="19" t="s">
        <v>120</v>
      </c>
      <c r="L146" s="17" t="s">
        <v>64</v>
      </c>
      <c r="M146" s="17" t="s">
        <v>164</v>
      </c>
      <c r="N146" s="17" t="s">
        <v>165</v>
      </c>
      <c r="O146" s="17">
        <v>2080</v>
      </c>
      <c r="P146" s="17" t="s">
        <v>153</v>
      </c>
      <c r="Q146" s="50">
        <v>30403</v>
      </c>
      <c r="R146" s="17"/>
      <c r="S146" s="17"/>
      <c r="T146" s="17">
        <v>30007204</v>
      </c>
      <c r="U146" s="17" t="s">
        <v>59</v>
      </c>
      <c r="V146" s="17" t="s">
        <v>66</v>
      </c>
      <c r="W146" s="17" t="s">
        <v>67</v>
      </c>
      <c r="X146" s="17" t="s">
        <v>166</v>
      </c>
      <c r="Y146" s="51">
        <v>40179</v>
      </c>
      <c r="Z146" s="17"/>
      <c r="AA146" s="17"/>
      <c r="AB146" s="17"/>
      <c r="AC146" s="17"/>
      <c r="AD146" s="17"/>
      <c r="AE146" s="17"/>
      <c r="AF146" s="17"/>
      <c r="AG146" s="17"/>
      <c r="AH146" s="17"/>
      <c r="AI146" s="17"/>
      <c r="AJ146" s="17"/>
      <c r="AK146" s="17"/>
      <c r="AL146" s="17"/>
      <c r="AM146" s="17"/>
      <c r="AN146" s="17"/>
      <c r="AO146" s="17"/>
      <c r="AP146" s="17"/>
      <c r="AQ146" s="62"/>
      <c r="AR146" s="18" t="s">
        <v>1270</v>
      </c>
      <c r="AS146" s="17"/>
      <c r="AT146" s="17"/>
      <c r="AU146" s="17"/>
      <c r="AV146" s="17"/>
      <c r="AW146" s="17"/>
      <c r="AX146" s="17"/>
      <c r="AY146" s="17"/>
      <c r="AZ146" s="17"/>
      <c r="BA146" s="17"/>
      <c r="BB146" s="17"/>
      <c r="BC146" s="17"/>
      <c r="BD146" s="17"/>
      <c r="BE146" s="17"/>
      <c r="BF146" s="17"/>
    </row>
    <row r="147" spans="1:58" s="68" customFormat="1" ht="17.850000000000001" customHeight="1">
      <c r="A147" s="27" t="s">
        <v>54</v>
      </c>
      <c r="B147" s="27">
        <v>30090119</v>
      </c>
      <c r="C147" s="27" t="s">
        <v>301</v>
      </c>
      <c r="D147" s="27" t="s">
        <v>302</v>
      </c>
      <c r="E147" s="27" t="s">
        <v>303</v>
      </c>
      <c r="F147" s="29" t="s">
        <v>257</v>
      </c>
      <c r="G147" s="29" t="s">
        <v>304</v>
      </c>
      <c r="H147" s="27" t="s">
        <v>305</v>
      </c>
      <c r="I147" s="29" t="s">
        <v>61</v>
      </c>
      <c r="J147" s="27" t="s">
        <v>62</v>
      </c>
      <c r="K147" s="29" t="s">
        <v>63</v>
      </c>
      <c r="L147" s="27" t="s">
        <v>0</v>
      </c>
      <c r="M147" s="27" t="s">
        <v>305</v>
      </c>
      <c r="N147" s="27" t="s">
        <v>0</v>
      </c>
      <c r="O147" s="27" t="s">
        <v>0</v>
      </c>
      <c r="P147" s="27" t="s">
        <v>0</v>
      </c>
      <c r="Q147" s="30"/>
      <c r="R147" s="31"/>
      <c r="S147" s="30"/>
      <c r="T147" s="27" t="s">
        <v>0</v>
      </c>
      <c r="U147" s="17" t="s">
        <v>59</v>
      </c>
      <c r="V147" s="17" t="s">
        <v>66</v>
      </c>
      <c r="W147" s="17" t="s">
        <v>67</v>
      </c>
      <c r="X147" s="32" t="s">
        <v>733</v>
      </c>
      <c r="Y147" s="33" t="s">
        <v>0</v>
      </c>
      <c r="Z147" s="32" t="s">
        <v>0</v>
      </c>
      <c r="AA147" s="34" t="s">
        <v>0</v>
      </c>
      <c r="AB147" s="34" t="s">
        <v>0</v>
      </c>
      <c r="AC147" s="34" t="s">
        <v>0</v>
      </c>
      <c r="AD147" s="34" t="s">
        <v>0</v>
      </c>
      <c r="AE147" s="18" t="s">
        <v>0</v>
      </c>
      <c r="AF147" s="18" t="s">
        <v>0</v>
      </c>
      <c r="AG147" s="18" t="s">
        <v>0</v>
      </c>
      <c r="AH147" s="18" t="s">
        <v>0</v>
      </c>
      <c r="AI147" s="18" t="s">
        <v>0</v>
      </c>
      <c r="AJ147" s="34">
        <v>2</v>
      </c>
      <c r="AK147" s="74">
        <v>2.4700000000000002</v>
      </c>
      <c r="AL147" s="34" t="s">
        <v>0</v>
      </c>
      <c r="AM147" s="24">
        <v>0</v>
      </c>
      <c r="AN147" s="75">
        <v>2.2833000000000001</v>
      </c>
      <c r="AO147" s="18" t="s">
        <v>0</v>
      </c>
      <c r="AP147" s="18" t="s">
        <v>38</v>
      </c>
      <c r="AQ147" s="27" t="s">
        <v>1273</v>
      </c>
      <c r="AR147" s="18" t="s">
        <v>306</v>
      </c>
      <c r="AS147" s="18">
        <v>2021</v>
      </c>
      <c r="AT147" s="18">
        <v>2026</v>
      </c>
      <c r="AU147" s="76">
        <v>45986</v>
      </c>
      <c r="AV147" s="18">
        <v>1110</v>
      </c>
      <c r="AW147" s="18">
        <v>17</v>
      </c>
      <c r="AX147" s="18">
        <v>48</v>
      </c>
      <c r="AY147" s="18">
        <v>14</v>
      </c>
      <c r="AZ147" s="18">
        <v>17</v>
      </c>
      <c r="BA147" s="77">
        <v>19</v>
      </c>
      <c r="BB147" s="18" t="s">
        <v>307</v>
      </c>
      <c r="BC147" s="18" t="s">
        <v>0</v>
      </c>
      <c r="BD147" s="18" t="s">
        <v>0</v>
      </c>
      <c r="BE147" s="18" t="s">
        <v>0</v>
      </c>
      <c r="BF147" s="18" t="s">
        <v>0</v>
      </c>
    </row>
    <row r="148" spans="1:58" s="68" customFormat="1" ht="17.850000000000001" customHeight="1">
      <c r="A148" s="17" t="s">
        <v>54</v>
      </c>
      <c r="B148" s="17">
        <v>30087291</v>
      </c>
      <c r="C148" s="18" t="s">
        <v>360</v>
      </c>
      <c r="D148" s="17" t="s">
        <v>361</v>
      </c>
      <c r="E148" s="17" t="s">
        <v>362</v>
      </c>
      <c r="F148" s="19" t="s">
        <v>363</v>
      </c>
      <c r="G148" s="19" t="s">
        <v>80</v>
      </c>
      <c r="H148" s="17" t="s">
        <v>60</v>
      </c>
      <c r="I148" s="19" t="s">
        <v>76</v>
      </c>
      <c r="J148" s="17" t="s">
        <v>77</v>
      </c>
      <c r="K148" s="19" t="s">
        <v>63</v>
      </c>
      <c r="L148" s="17" t="s">
        <v>64</v>
      </c>
      <c r="M148" s="17" t="s">
        <v>60</v>
      </c>
      <c r="N148" s="17" t="s">
        <v>65</v>
      </c>
      <c r="O148" s="17">
        <v>2080</v>
      </c>
      <c r="P148" s="17" t="s">
        <v>153</v>
      </c>
      <c r="Q148" s="20">
        <f>'[1]FEBE Academics 2024'!R145</f>
        <v>29255</v>
      </c>
      <c r="R148" s="21">
        <f ca="1">YEARFRAC(Q148,TODAY())</f>
        <v>46.50277777777778</v>
      </c>
      <c r="S148" s="20">
        <f>EDATE(Q148,12*65)</f>
        <v>52997</v>
      </c>
      <c r="T148" s="17">
        <v>30007204</v>
      </c>
      <c r="U148" s="17" t="s">
        <v>59</v>
      </c>
      <c r="V148" s="17" t="s">
        <v>66</v>
      </c>
      <c r="W148" s="17" t="s">
        <v>67</v>
      </c>
      <c r="X148" s="22" t="s">
        <v>142</v>
      </c>
      <c r="Y148" s="23">
        <v>46010</v>
      </c>
      <c r="Z148" s="22" t="s">
        <v>0</v>
      </c>
      <c r="AA148" s="22" t="s">
        <v>0</v>
      </c>
      <c r="AB148" s="22" t="s">
        <v>0</v>
      </c>
      <c r="AC148" s="22" t="s">
        <v>0</v>
      </c>
      <c r="AD148" s="22" t="s">
        <v>0</v>
      </c>
      <c r="AE148" s="17" t="s">
        <v>0</v>
      </c>
      <c r="AF148" s="17" t="s">
        <v>0</v>
      </c>
      <c r="AG148" s="17" t="s">
        <v>0</v>
      </c>
      <c r="AH148" s="17" t="s">
        <v>0</v>
      </c>
      <c r="AI148" s="17" t="s">
        <v>0</v>
      </c>
      <c r="AJ148" s="22">
        <v>0.5</v>
      </c>
      <c r="AK148" s="22">
        <v>0</v>
      </c>
      <c r="AL148" s="22" t="s">
        <v>0</v>
      </c>
      <c r="AM148" s="24">
        <v>0</v>
      </c>
      <c r="AN148" s="25"/>
      <c r="AO148" s="17" t="s">
        <v>0</v>
      </c>
      <c r="AP148" s="17" t="s">
        <v>0</v>
      </c>
      <c r="AQ148" s="18" t="s">
        <v>1270</v>
      </c>
      <c r="AR148" s="18"/>
      <c r="AS148" s="17" t="s">
        <v>0</v>
      </c>
      <c r="AT148" s="17" t="s">
        <v>0</v>
      </c>
      <c r="AU148" s="17" t="s">
        <v>0</v>
      </c>
      <c r="AV148" s="17" t="s">
        <v>0</v>
      </c>
      <c r="AW148" s="18" t="s">
        <v>0</v>
      </c>
      <c r="AX148" s="17">
        <v>0</v>
      </c>
      <c r="AY148" s="17" t="s">
        <v>0</v>
      </c>
      <c r="AZ148" s="17" t="s">
        <v>0</v>
      </c>
      <c r="BA148" s="17">
        <v>0</v>
      </c>
      <c r="BB148" s="17" t="s">
        <v>0</v>
      </c>
      <c r="BC148" s="18" t="s">
        <v>0</v>
      </c>
      <c r="BD148" s="18" t="s">
        <v>0</v>
      </c>
      <c r="BE148" s="18" t="s">
        <v>0</v>
      </c>
      <c r="BF148" s="18" t="s">
        <v>0</v>
      </c>
    </row>
    <row r="149" spans="1:58" s="68" customFormat="1" ht="17.850000000000001" customHeight="1">
      <c r="A149" s="18" t="s">
        <v>95</v>
      </c>
      <c r="B149" s="18">
        <v>30091272</v>
      </c>
      <c r="C149" s="105" t="s">
        <v>963</v>
      </c>
      <c r="D149" s="18" t="s">
        <v>964</v>
      </c>
      <c r="E149" s="18" t="s">
        <v>965</v>
      </c>
      <c r="F149" s="29" t="s">
        <v>956</v>
      </c>
      <c r="G149" s="29" t="s">
        <v>80</v>
      </c>
      <c r="H149" s="17" t="s">
        <v>952</v>
      </c>
      <c r="I149" s="19" t="s">
        <v>76</v>
      </c>
      <c r="J149" s="17" t="s">
        <v>197</v>
      </c>
      <c r="K149" s="19" t="s">
        <v>63</v>
      </c>
      <c r="L149" s="17" t="s">
        <v>78</v>
      </c>
      <c r="M149" s="17" t="s">
        <v>952</v>
      </c>
      <c r="N149" s="17" t="s">
        <v>966</v>
      </c>
      <c r="O149" s="17">
        <v>1012</v>
      </c>
      <c r="P149" s="17" t="s">
        <v>104</v>
      </c>
      <c r="Q149" s="20">
        <f>'[1]FEBE Academics 2024'!R146</f>
        <v>23427</v>
      </c>
      <c r="R149" s="21">
        <f ca="1">YEARFRAC(Q149,TODAY())</f>
        <v>62.458333333333336</v>
      </c>
      <c r="S149" s="20">
        <f>EDATE(Q149,12*65)</f>
        <v>47169</v>
      </c>
      <c r="T149" s="17">
        <v>30110521</v>
      </c>
      <c r="U149" s="17" t="s">
        <v>105</v>
      </c>
      <c r="V149" s="17" t="s">
        <v>106</v>
      </c>
      <c r="W149" s="17" t="s">
        <v>107</v>
      </c>
      <c r="X149" s="22" t="s">
        <v>967</v>
      </c>
      <c r="Y149" s="23">
        <v>36130</v>
      </c>
      <c r="Z149" s="34" t="s">
        <v>0</v>
      </c>
      <c r="AA149" s="34" t="s">
        <v>0</v>
      </c>
      <c r="AB149" s="34" t="s">
        <v>0</v>
      </c>
      <c r="AC149" s="34" t="s">
        <v>0</v>
      </c>
      <c r="AD149" s="34" t="s">
        <v>0</v>
      </c>
      <c r="AE149" s="18" t="s">
        <v>0</v>
      </c>
      <c r="AF149" s="18" t="s">
        <v>0</v>
      </c>
      <c r="AG149" s="18" t="s">
        <v>0</v>
      </c>
      <c r="AH149" s="17" t="s">
        <v>0</v>
      </c>
      <c r="AI149" s="17" t="s">
        <v>0</v>
      </c>
      <c r="AJ149" s="22">
        <v>0.5</v>
      </c>
      <c r="AK149" s="36">
        <v>0.46</v>
      </c>
      <c r="AL149" s="22">
        <v>0.79</v>
      </c>
      <c r="AM149" s="43">
        <v>0.33329999999999999</v>
      </c>
      <c r="AN149" s="22"/>
      <c r="AO149" s="17" t="s">
        <v>0</v>
      </c>
      <c r="AP149" s="17" t="s">
        <v>0</v>
      </c>
      <c r="AQ149" s="206"/>
      <c r="AR149" s="18" t="s">
        <v>1270</v>
      </c>
      <c r="AS149" s="18" t="s">
        <v>0</v>
      </c>
      <c r="AT149" s="18" t="s">
        <v>0</v>
      </c>
      <c r="AU149" s="18" t="s">
        <v>0</v>
      </c>
      <c r="AV149" s="18" t="s">
        <v>0</v>
      </c>
      <c r="AW149" s="18" t="s">
        <v>0</v>
      </c>
      <c r="AX149" s="17">
        <v>0</v>
      </c>
      <c r="AY149" s="17" t="s">
        <v>0</v>
      </c>
      <c r="AZ149" s="17" t="s">
        <v>0</v>
      </c>
      <c r="BA149" s="17">
        <v>0</v>
      </c>
      <c r="BB149" s="18" t="s">
        <v>968</v>
      </c>
      <c r="BC149" s="18" t="s">
        <v>0</v>
      </c>
      <c r="BD149" s="18" t="s">
        <v>0</v>
      </c>
      <c r="BE149" s="18" t="s">
        <v>0</v>
      </c>
      <c r="BF149" s="18" t="s">
        <v>0</v>
      </c>
    </row>
    <row r="150" spans="1:58" s="68" customFormat="1" ht="17.850000000000001" customHeight="1">
      <c r="A150" s="17" t="s">
        <v>260</v>
      </c>
      <c r="B150" s="199">
        <v>30083943</v>
      </c>
      <c r="C150" s="65" t="s">
        <v>1218</v>
      </c>
      <c r="D150" s="65" t="s">
        <v>1219</v>
      </c>
      <c r="E150" s="65" t="s">
        <v>1220</v>
      </c>
      <c r="F150" s="194" t="s">
        <v>1221</v>
      </c>
      <c r="G150" s="194" t="s">
        <v>74</v>
      </c>
      <c r="H150" s="17" t="s">
        <v>60</v>
      </c>
      <c r="I150" s="19" t="s">
        <v>76</v>
      </c>
      <c r="J150" s="17" t="s">
        <v>62</v>
      </c>
      <c r="K150" s="19" t="s">
        <v>63</v>
      </c>
      <c r="L150" s="17" t="s">
        <v>78</v>
      </c>
      <c r="M150" s="17" t="s">
        <v>60</v>
      </c>
      <c r="N150" s="17" t="s">
        <v>90</v>
      </c>
      <c r="O150" s="17">
        <v>1012</v>
      </c>
      <c r="P150" s="17" t="s">
        <v>104</v>
      </c>
      <c r="Q150" s="20">
        <f>'[1]FEBE Academics 2024'!R147</f>
        <v>28443</v>
      </c>
      <c r="R150" s="21">
        <f ca="1">YEARFRAC(Q150,TODAY())</f>
        <v>48.725000000000001</v>
      </c>
      <c r="S150" s="20">
        <f>EDATE(Q150,12*65)</f>
        <v>52184</v>
      </c>
      <c r="T150" s="17">
        <v>30010866</v>
      </c>
      <c r="U150" s="17" t="s">
        <v>265</v>
      </c>
      <c r="V150" s="17" t="s">
        <v>266</v>
      </c>
      <c r="W150" s="17" t="s">
        <v>267</v>
      </c>
      <c r="X150" s="22" t="s">
        <v>471</v>
      </c>
      <c r="Y150" s="23">
        <v>45729</v>
      </c>
      <c r="Z150" s="22" t="s">
        <v>0</v>
      </c>
      <c r="AA150" s="22" t="s">
        <v>0</v>
      </c>
      <c r="AB150" s="22" t="s">
        <v>0</v>
      </c>
      <c r="AC150" s="22" t="s">
        <v>0</v>
      </c>
      <c r="AD150" s="22" t="s">
        <v>0</v>
      </c>
      <c r="AE150" s="17" t="s">
        <v>0</v>
      </c>
      <c r="AF150" s="17" t="s">
        <v>0</v>
      </c>
      <c r="AG150" s="17" t="s">
        <v>0</v>
      </c>
      <c r="AH150" s="17" t="s">
        <v>0</v>
      </c>
      <c r="AI150" s="18" t="s">
        <v>1222</v>
      </c>
      <c r="AJ150" s="22">
        <v>0.5</v>
      </c>
      <c r="AK150" s="22">
        <v>0</v>
      </c>
      <c r="AL150" s="22">
        <v>0</v>
      </c>
      <c r="AM150" s="22">
        <v>0</v>
      </c>
      <c r="AN150" s="22"/>
      <c r="AO150" s="17" t="s">
        <v>0</v>
      </c>
      <c r="AP150" s="17" t="s">
        <v>0</v>
      </c>
      <c r="AQ150" s="206"/>
      <c r="AR150" s="18" t="s">
        <v>1270</v>
      </c>
      <c r="AS150" s="17" t="s">
        <v>0</v>
      </c>
      <c r="AT150" s="17" t="s">
        <v>0</v>
      </c>
      <c r="AU150" s="17" t="s">
        <v>0</v>
      </c>
      <c r="AV150" s="17" t="s">
        <v>0</v>
      </c>
      <c r="AW150" s="18" t="s">
        <v>0</v>
      </c>
      <c r="AX150" s="17">
        <v>0</v>
      </c>
      <c r="AY150" s="17" t="s">
        <v>0</v>
      </c>
      <c r="AZ150" s="17" t="s">
        <v>0</v>
      </c>
      <c r="BA150" s="17">
        <v>0</v>
      </c>
      <c r="BB150" s="17" t="s">
        <v>0</v>
      </c>
      <c r="BC150" s="18" t="s">
        <v>0</v>
      </c>
      <c r="BD150" s="18" t="s">
        <v>0</v>
      </c>
      <c r="BE150" s="18" t="s">
        <v>0</v>
      </c>
      <c r="BF150" s="18" t="s">
        <v>0</v>
      </c>
    </row>
    <row r="151" spans="1:58" s="68" customFormat="1" ht="17.850000000000001" customHeight="1">
      <c r="A151" s="39" t="s">
        <v>95</v>
      </c>
      <c r="B151" s="39">
        <v>30011855</v>
      </c>
      <c r="C151" s="39" t="s">
        <v>1141</v>
      </c>
      <c r="D151" s="39" t="s">
        <v>1142</v>
      </c>
      <c r="E151" s="39" t="s">
        <v>1143</v>
      </c>
      <c r="F151" s="94" t="s">
        <v>1144</v>
      </c>
      <c r="G151" s="94" t="s">
        <v>74</v>
      </c>
      <c r="H151" s="39" t="s">
        <v>102</v>
      </c>
      <c r="I151" s="94" t="s">
        <v>76</v>
      </c>
      <c r="J151" s="39" t="s">
        <v>62</v>
      </c>
      <c r="K151" s="94" t="s">
        <v>63</v>
      </c>
      <c r="L151" s="39" t="s">
        <v>78</v>
      </c>
      <c r="M151" s="39" t="s">
        <v>102</v>
      </c>
      <c r="N151" s="39" t="s">
        <v>65</v>
      </c>
      <c r="O151" s="39">
        <v>1012</v>
      </c>
      <c r="P151" s="39" t="s">
        <v>104</v>
      </c>
      <c r="Q151" s="85">
        <f>'[1]FEBE Academics 2024'!R148</f>
        <v>22925</v>
      </c>
      <c r="R151" s="86">
        <f ca="1">YEARFRAC(Q151,TODAY())</f>
        <v>63.830555555555556</v>
      </c>
      <c r="S151" s="85">
        <f>EDATE(Q151,12*65)</f>
        <v>46666</v>
      </c>
      <c r="T151" s="39">
        <v>30110521</v>
      </c>
      <c r="U151" s="39" t="s">
        <v>105</v>
      </c>
      <c r="V151" s="39" t="s">
        <v>106</v>
      </c>
      <c r="W151" s="39" t="s">
        <v>107</v>
      </c>
      <c r="X151" s="43" t="s">
        <v>68</v>
      </c>
      <c r="Y151" s="87">
        <v>36130</v>
      </c>
      <c r="Z151" s="43" t="s">
        <v>0</v>
      </c>
      <c r="AA151" s="43" t="s">
        <v>0</v>
      </c>
      <c r="AB151" s="43" t="s">
        <v>0</v>
      </c>
      <c r="AC151" s="43" t="s">
        <v>0</v>
      </c>
      <c r="AD151" s="43" t="s">
        <v>0</v>
      </c>
      <c r="AE151" s="39" t="s">
        <v>0</v>
      </c>
      <c r="AF151" s="39" t="s">
        <v>0</v>
      </c>
      <c r="AG151" s="39" t="s">
        <v>0</v>
      </c>
      <c r="AH151" s="39" t="s">
        <v>0</v>
      </c>
      <c r="AI151" s="39" t="s">
        <v>0</v>
      </c>
      <c r="AJ151" s="43">
        <v>1</v>
      </c>
      <c r="AK151" s="43">
        <v>0</v>
      </c>
      <c r="AL151" s="43">
        <v>0</v>
      </c>
      <c r="AM151" s="43">
        <v>0</v>
      </c>
      <c r="AN151" s="22"/>
      <c r="AO151" s="39" t="s">
        <v>0</v>
      </c>
      <c r="AP151" s="39" t="s">
        <v>0</v>
      </c>
      <c r="AQ151" s="62"/>
      <c r="AR151" s="18" t="s">
        <v>1270</v>
      </c>
      <c r="AS151" s="39" t="s">
        <v>0</v>
      </c>
      <c r="AT151" s="39" t="s">
        <v>0</v>
      </c>
      <c r="AU151" s="39" t="s">
        <v>0</v>
      </c>
      <c r="AV151" s="39" t="s">
        <v>0</v>
      </c>
      <c r="AW151" s="18" t="s">
        <v>0</v>
      </c>
      <c r="AX151" s="17">
        <v>0</v>
      </c>
      <c r="AY151" s="17" t="s">
        <v>0</v>
      </c>
      <c r="AZ151" s="17" t="s">
        <v>0</v>
      </c>
      <c r="BA151" s="39">
        <v>0</v>
      </c>
      <c r="BB151" s="39" t="s">
        <v>1052</v>
      </c>
      <c r="BC151" s="39" t="s">
        <v>0</v>
      </c>
      <c r="BD151" s="39" t="s">
        <v>0</v>
      </c>
      <c r="BE151" s="39" t="s">
        <v>0</v>
      </c>
      <c r="BF151" s="39" t="s">
        <v>0</v>
      </c>
    </row>
    <row r="152" spans="1:58" s="68" customFormat="1" ht="17.850000000000001" customHeight="1">
      <c r="A152" s="27" t="s">
        <v>69</v>
      </c>
      <c r="B152" s="27">
        <v>30110723</v>
      </c>
      <c r="C152" s="27" t="s">
        <v>564</v>
      </c>
      <c r="D152" s="27" t="s">
        <v>565</v>
      </c>
      <c r="E152" s="27" t="s">
        <v>566</v>
      </c>
      <c r="F152" s="29" t="s">
        <v>567</v>
      </c>
      <c r="G152" s="29" t="s">
        <v>74</v>
      </c>
      <c r="H152" s="27" t="s">
        <v>568</v>
      </c>
      <c r="I152" s="29" t="s">
        <v>76</v>
      </c>
      <c r="J152" s="27" t="s">
        <v>62</v>
      </c>
      <c r="K152" s="29" t="s">
        <v>120</v>
      </c>
      <c r="L152" s="27" t="s">
        <v>78</v>
      </c>
      <c r="M152" s="27" t="s">
        <v>164</v>
      </c>
      <c r="N152" s="27" t="s">
        <v>65</v>
      </c>
      <c r="O152" s="27"/>
      <c r="P152" s="27"/>
      <c r="Q152" s="108">
        <v>35892</v>
      </c>
      <c r="R152" s="31">
        <f ca="1">YEARFRAC(Q152,TODAY())</f>
        <v>28.327777777777779</v>
      </c>
      <c r="S152" s="30">
        <f>EDATE(Q152,12*65)</f>
        <v>59633</v>
      </c>
      <c r="T152" s="27">
        <v>30000294</v>
      </c>
      <c r="U152" s="27" t="s">
        <v>105</v>
      </c>
      <c r="V152" s="27" t="s">
        <v>81</v>
      </c>
      <c r="W152" s="27" t="s">
        <v>82</v>
      </c>
      <c r="X152" s="27" t="s">
        <v>569</v>
      </c>
      <c r="Y152" s="33">
        <v>45292</v>
      </c>
      <c r="Z152" s="32"/>
      <c r="AA152" s="32"/>
      <c r="AB152" s="32"/>
      <c r="AC152" s="32"/>
      <c r="AD152" s="32"/>
      <c r="AE152" s="27"/>
      <c r="AF152" s="27"/>
      <c r="AG152" s="27"/>
      <c r="AH152" s="27"/>
      <c r="AI152" s="27"/>
      <c r="AJ152" s="32"/>
      <c r="AK152" s="32"/>
      <c r="AL152" s="32"/>
      <c r="AM152" s="109"/>
      <c r="AN152" s="25"/>
      <c r="AO152" s="27"/>
      <c r="AP152" s="27"/>
      <c r="AQ152" s="205" t="s">
        <v>1270</v>
      </c>
      <c r="AR152" s="18"/>
      <c r="AS152" s="27"/>
      <c r="AT152" s="27"/>
      <c r="AU152" s="27"/>
      <c r="AV152" s="27"/>
      <c r="AW152" s="27"/>
      <c r="AX152" s="27"/>
      <c r="AY152" s="27"/>
      <c r="AZ152" s="27"/>
      <c r="BA152" s="27"/>
      <c r="BB152" s="27"/>
      <c r="BC152" s="27"/>
      <c r="BD152" s="27"/>
      <c r="BE152" s="27"/>
      <c r="BF152" s="27"/>
    </row>
    <row r="153" spans="1:58" s="68" customFormat="1" ht="17.850000000000001" customHeight="1">
      <c r="A153" s="27" t="s">
        <v>125</v>
      </c>
      <c r="B153" s="27">
        <v>30087011</v>
      </c>
      <c r="C153" s="27" t="s">
        <v>547</v>
      </c>
      <c r="D153" s="27" t="s">
        <v>548</v>
      </c>
      <c r="E153" s="27" t="s">
        <v>549</v>
      </c>
      <c r="F153" s="29" t="s">
        <v>550</v>
      </c>
      <c r="G153" s="29" t="s">
        <v>80</v>
      </c>
      <c r="H153" s="27" t="s">
        <v>60</v>
      </c>
      <c r="I153" s="29" t="s">
        <v>76</v>
      </c>
      <c r="J153" s="27" t="s">
        <v>62</v>
      </c>
      <c r="K153" s="29" t="s">
        <v>120</v>
      </c>
      <c r="L153" s="27" t="s">
        <v>78</v>
      </c>
      <c r="M153" s="27" t="s">
        <v>551</v>
      </c>
      <c r="N153" s="27" t="s">
        <v>281</v>
      </c>
      <c r="O153" s="27"/>
      <c r="P153" s="27" t="s">
        <v>78</v>
      </c>
      <c r="Q153" s="41">
        <v>30923</v>
      </c>
      <c r="R153" s="27"/>
      <c r="S153" s="27"/>
      <c r="T153" s="27">
        <v>30101611</v>
      </c>
      <c r="U153" s="27" t="s">
        <v>105</v>
      </c>
      <c r="V153" s="27" t="s">
        <v>76</v>
      </c>
      <c r="W153" s="27" t="s">
        <v>131</v>
      </c>
      <c r="X153" s="27" t="s">
        <v>154</v>
      </c>
      <c r="Y153" s="42">
        <v>41640</v>
      </c>
      <c r="Z153" s="27" t="s">
        <v>133</v>
      </c>
      <c r="AA153" s="27" t="s">
        <v>133</v>
      </c>
      <c r="AB153" s="27" t="s">
        <v>133</v>
      </c>
      <c r="AC153" s="27" t="s">
        <v>133</v>
      </c>
      <c r="AD153" s="27" t="s">
        <v>133</v>
      </c>
      <c r="AE153" s="27" t="s">
        <v>133</v>
      </c>
      <c r="AF153" s="27"/>
      <c r="AG153" s="27"/>
      <c r="AH153" s="27"/>
      <c r="AI153" s="27"/>
      <c r="AJ153" s="27"/>
      <c r="AK153" s="27"/>
      <c r="AL153" s="27"/>
      <c r="AM153" s="27"/>
      <c r="AN153" s="17"/>
      <c r="AO153" s="104"/>
      <c r="AP153" s="27"/>
      <c r="AQ153" s="206"/>
      <c r="AR153" s="18" t="s">
        <v>1270</v>
      </c>
      <c r="AS153" s="27"/>
      <c r="AT153" s="27"/>
      <c r="AU153" s="27"/>
      <c r="AV153" s="27"/>
      <c r="AW153" s="27"/>
      <c r="AX153" s="27"/>
      <c r="AY153" s="27"/>
      <c r="AZ153" s="27"/>
      <c r="BA153" s="27"/>
      <c r="BB153" s="27"/>
      <c r="BC153" s="27"/>
      <c r="BD153" s="27"/>
      <c r="BE153" s="27"/>
      <c r="BF153" s="27"/>
    </row>
    <row r="154" spans="1:58" s="68" customFormat="1" ht="17.850000000000001" customHeight="1">
      <c r="A154" s="18" t="s">
        <v>135</v>
      </c>
      <c r="B154" s="18">
        <v>30092819</v>
      </c>
      <c r="C154" s="18" t="s">
        <v>888</v>
      </c>
      <c r="D154" s="18" t="s">
        <v>889</v>
      </c>
      <c r="E154" s="18" t="s">
        <v>890</v>
      </c>
      <c r="F154" s="19" t="s">
        <v>76</v>
      </c>
      <c r="G154" s="19" t="s">
        <v>74</v>
      </c>
      <c r="H154" s="17" t="s">
        <v>891</v>
      </c>
      <c r="I154" s="19" t="s">
        <v>76</v>
      </c>
      <c r="J154" s="17" t="s">
        <v>62</v>
      </c>
      <c r="K154" s="19" t="s">
        <v>63</v>
      </c>
      <c r="L154" s="17" t="s">
        <v>78</v>
      </c>
      <c r="M154" s="17" t="s">
        <v>891</v>
      </c>
      <c r="N154" s="17" t="s">
        <v>65</v>
      </c>
      <c r="O154" s="17">
        <v>531</v>
      </c>
      <c r="P154" s="17" t="s">
        <v>213</v>
      </c>
      <c r="Q154" s="20">
        <f>'[1]FEBE Academics 2024'!R150</f>
        <v>32932</v>
      </c>
      <c r="R154" s="21">
        <f ca="1">YEARFRAC(Q154,TODAY())</f>
        <v>36.430555555555557</v>
      </c>
      <c r="S154" s="20">
        <f>EDATE(Q154,12*65)</f>
        <v>56673</v>
      </c>
      <c r="T154" s="17">
        <v>30015698</v>
      </c>
      <c r="U154" s="17" t="s">
        <v>190</v>
      </c>
      <c r="V154" s="17" t="s">
        <v>191</v>
      </c>
      <c r="W154" s="17" t="s">
        <v>192</v>
      </c>
      <c r="X154" s="22" t="s">
        <v>214</v>
      </c>
      <c r="Y154" s="23">
        <v>45979</v>
      </c>
      <c r="Z154" s="34" t="s">
        <v>0</v>
      </c>
      <c r="AA154" s="34" t="s">
        <v>0</v>
      </c>
      <c r="AB154" s="34" t="s">
        <v>0</v>
      </c>
      <c r="AC154" s="34" t="s">
        <v>0</v>
      </c>
      <c r="AD154" s="34" t="s">
        <v>0</v>
      </c>
      <c r="AE154" s="18" t="s">
        <v>0</v>
      </c>
      <c r="AF154" s="18" t="s">
        <v>0</v>
      </c>
      <c r="AG154" s="18" t="s">
        <v>0</v>
      </c>
      <c r="AH154" s="17" t="s">
        <v>0</v>
      </c>
      <c r="AI154" s="17" t="s">
        <v>0</v>
      </c>
      <c r="AJ154" s="22">
        <v>0.5</v>
      </c>
      <c r="AK154" s="22">
        <v>0</v>
      </c>
      <c r="AL154" s="22">
        <v>0</v>
      </c>
      <c r="AM154" s="22">
        <v>0</v>
      </c>
      <c r="AN154" s="22"/>
      <c r="AO154" s="17" t="s">
        <v>0</v>
      </c>
      <c r="AP154" s="17" t="s">
        <v>0</v>
      </c>
      <c r="AQ154" s="206"/>
      <c r="AR154" s="18" t="s">
        <v>1270</v>
      </c>
      <c r="AS154" s="18" t="s">
        <v>0</v>
      </c>
      <c r="AT154" s="18" t="s">
        <v>0</v>
      </c>
      <c r="AU154" s="18" t="s">
        <v>0</v>
      </c>
      <c r="AV154" s="18" t="s">
        <v>0</v>
      </c>
      <c r="AW154" s="18" t="s">
        <v>0</v>
      </c>
      <c r="AX154" s="17">
        <v>0</v>
      </c>
      <c r="AY154" s="17" t="s">
        <v>0</v>
      </c>
      <c r="AZ154" s="17" t="s">
        <v>0</v>
      </c>
      <c r="BA154" s="17">
        <v>0</v>
      </c>
      <c r="BB154" s="17" t="s">
        <v>94</v>
      </c>
      <c r="BC154" s="18" t="s">
        <v>0</v>
      </c>
      <c r="BD154" s="18" t="s">
        <v>0</v>
      </c>
      <c r="BE154" s="18" t="s">
        <v>0</v>
      </c>
      <c r="BF154" s="18" t="s">
        <v>0</v>
      </c>
    </row>
    <row r="155" spans="1:58" s="68" customFormat="1" ht="17.100000000000001" customHeight="1">
      <c r="A155" s="27" t="s">
        <v>135</v>
      </c>
      <c r="B155" s="27">
        <v>30099663</v>
      </c>
      <c r="C155" s="27" t="s">
        <v>1181</v>
      </c>
      <c r="D155" s="27" t="s">
        <v>1182</v>
      </c>
      <c r="E155" s="27" t="s">
        <v>1183</v>
      </c>
      <c r="F155" s="29" t="s">
        <v>1163</v>
      </c>
      <c r="G155" s="29" t="s">
        <v>74</v>
      </c>
      <c r="H155" s="27" t="s">
        <v>253</v>
      </c>
      <c r="I155" s="29" t="s">
        <v>76</v>
      </c>
      <c r="J155" s="27" t="s">
        <v>62</v>
      </c>
      <c r="K155" s="29" t="s">
        <v>120</v>
      </c>
      <c r="L155" s="27" t="s">
        <v>78</v>
      </c>
      <c r="M155" s="27" t="s">
        <v>1184</v>
      </c>
      <c r="N155" s="27" t="s">
        <v>65</v>
      </c>
      <c r="O155" s="27">
        <v>594</v>
      </c>
      <c r="P155" s="27" t="s">
        <v>170</v>
      </c>
      <c r="Q155" s="27"/>
      <c r="R155" s="27"/>
      <c r="S155" s="27"/>
      <c r="T155" s="27"/>
      <c r="U155" s="27" t="s">
        <v>59</v>
      </c>
      <c r="V155" s="27" t="s">
        <v>99</v>
      </c>
      <c r="W155" s="27" t="s">
        <v>141</v>
      </c>
      <c r="X155" s="56" t="s">
        <v>214</v>
      </c>
      <c r="Y155" s="57">
        <v>43101</v>
      </c>
      <c r="Z155" s="27"/>
      <c r="AA155" s="27"/>
      <c r="AB155" s="27"/>
      <c r="AC155" s="27"/>
      <c r="AD155" s="27"/>
      <c r="AE155" s="27"/>
      <c r="AF155" s="27"/>
      <c r="AG155" s="27"/>
      <c r="AH155" s="27"/>
      <c r="AI155" s="27"/>
      <c r="AJ155" s="27"/>
      <c r="AK155" s="27"/>
      <c r="AL155" s="27"/>
      <c r="AM155" s="27"/>
      <c r="AN155" s="17"/>
      <c r="AO155" s="27"/>
      <c r="AP155" s="27"/>
      <c r="AQ155" s="205" t="s">
        <v>1270</v>
      </c>
      <c r="AR155" s="18"/>
      <c r="AS155" s="27"/>
      <c r="AT155" s="27"/>
      <c r="AU155" s="27"/>
      <c r="AV155" s="27"/>
      <c r="AW155" s="27"/>
      <c r="AX155" s="27"/>
      <c r="AY155" s="27"/>
      <c r="AZ155" s="27"/>
      <c r="BA155" s="27"/>
      <c r="BB155" s="27"/>
      <c r="BC155" s="27"/>
      <c r="BD155" s="27"/>
      <c r="BE155" s="27"/>
      <c r="BF155" s="27"/>
    </row>
    <row r="156" spans="1:58" s="68" customFormat="1" ht="17.850000000000001" customHeight="1">
      <c r="A156" s="18" t="s">
        <v>217</v>
      </c>
      <c r="B156" s="18">
        <v>30089781</v>
      </c>
      <c r="C156" s="18" t="s">
        <v>1209</v>
      </c>
      <c r="D156" s="18" t="s">
        <v>1210</v>
      </c>
      <c r="E156" s="18" t="s">
        <v>1211</v>
      </c>
      <c r="F156" s="72" t="s">
        <v>1212</v>
      </c>
      <c r="G156" s="72" t="s">
        <v>74</v>
      </c>
      <c r="H156" s="18" t="s">
        <v>60</v>
      </c>
      <c r="I156" s="72" t="s">
        <v>76</v>
      </c>
      <c r="J156" s="18" t="s">
        <v>62</v>
      </c>
      <c r="K156" s="72" t="s">
        <v>63</v>
      </c>
      <c r="L156" s="18" t="s">
        <v>78</v>
      </c>
      <c r="M156" s="18" t="s">
        <v>60</v>
      </c>
      <c r="N156" s="18" t="s">
        <v>281</v>
      </c>
      <c r="O156" s="18">
        <v>1012</v>
      </c>
      <c r="P156" s="18" t="s">
        <v>104</v>
      </c>
      <c r="Q156" s="20">
        <f>'[1]FEBE Academics 2024'!R151</f>
        <v>28469</v>
      </c>
      <c r="R156" s="21">
        <f ca="1">YEARFRAC(Q156,TODAY())</f>
        <v>48.652777777777779</v>
      </c>
      <c r="S156" s="20">
        <f>EDATE(Q156,12*65)</f>
        <v>52210</v>
      </c>
      <c r="T156" s="18">
        <v>30007939</v>
      </c>
      <c r="U156" s="18" t="s">
        <v>74</v>
      </c>
      <c r="V156" s="18" t="s">
        <v>223</v>
      </c>
      <c r="W156" s="18" t="s">
        <v>224</v>
      </c>
      <c r="X156" s="34" t="s">
        <v>1213</v>
      </c>
      <c r="Y156" s="73">
        <v>46002</v>
      </c>
      <c r="Z156" s="52" t="s">
        <v>1214</v>
      </c>
      <c r="AA156" s="34">
        <v>2014</v>
      </c>
      <c r="AB156" s="34">
        <v>2024</v>
      </c>
      <c r="AC156" s="34" t="s">
        <v>473</v>
      </c>
      <c r="AD156" s="34" t="s">
        <v>0</v>
      </c>
      <c r="AE156" s="18" t="s">
        <v>0</v>
      </c>
      <c r="AF156" s="18" t="s">
        <v>0</v>
      </c>
      <c r="AG156" s="18" t="s">
        <v>0</v>
      </c>
      <c r="AH156" s="18" t="s">
        <v>0</v>
      </c>
      <c r="AI156" s="18" t="s">
        <v>0</v>
      </c>
      <c r="AJ156" s="34">
        <v>0.5</v>
      </c>
      <c r="AK156" s="34">
        <v>0</v>
      </c>
      <c r="AL156" s="34">
        <v>0</v>
      </c>
      <c r="AM156" s="18">
        <v>0</v>
      </c>
      <c r="AN156" s="17"/>
      <c r="AO156" s="18" t="s">
        <v>0</v>
      </c>
      <c r="AP156" s="18" t="s">
        <v>0</v>
      </c>
      <c r="AQ156" s="62"/>
      <c r="AR156" s="18" t="s">
        <v>1270</v>
      </c>
      <c r="AS156" s="18" t="s">
        <v>0</v>
      </c>
      <c r="AT156" s="18" t="s">
        <v>0</v>
      </c>
      <c r="AU156" s="18" t="s">
        <v>0</v>
      </c>
      <c r="AV156" s="18" t="s">
        <v>0</v>
      </c>
      <c r="AW156" s="18" t="s">
        <v>0</v>
      </c>
      <c r="AX156" s="17">
        <v>0</v>
      </c>
      <c r="AY156" s="17" t="s">
        <v>0</v>
      </c>
      <c r="AZ156" s="17" t="s">
        <v>0</v>
      </c>
      <c r="BA156" s="17">
        <v>0</v>
      </c>
      <c r="BB156" s="17" t="s">
        <v>94</v>
      </c>
      <c r="BC156" s="18" t="s">
        <v>0</v>
      </c>
      <c r="BD156" s="18" t="s">
        <v>0</v>
      </c>
      <c r="BE156" s="18" t="s">
        <v>0</v>
      </c>
      <c r="BF156" s="18" t="s">
        <v>0</v>
      </c>
    </row>
    <row r="157" spans="1:58" ht="17.850000000000001" customHeight="1">
      <c r="A157" s="17" t="s">
        <v>125</v>
      </c>
      <c r="B157" s="17">
        <v>30086268</v>
      </c>
      <c r="C157" s="17" t="s">
        <v>757</v>
      </c>
      <c r="D157" s="17" t="s">
        <v>758</v>
      </c>
      <c r="E157" s="17" t="s">
        <v>759</v>
      </c>
      <c r="F157" s="19" t="s">
        <v>760</v>
      </c>
      <c r="G157" s="19" t="s">
        <v>80</v>
      </c>
      <c r="H157" s="17" t="s">
        <v>253</v>
      </c>
      <c r="I157" s="19" t="s">
        <v>61</v>
      </c>
      <c r="J157" s="17" t="s">
        <v>62</v>
      </c>
      <c r="K157" s="19" t="s">
        <v>63</v>
      </c>
      <c r="L157" s="17" t="s">
        <v>78</v>
      </c>
      <c r="M157" s="17" t="s">
        <v>253</v>
      </c>
      <c r="N157" s="17" t="s">
        <v>65</v>
      </c>
      <c r="O157" s="17">
        <v>531</v>
      </c>
      <c r="P157" s="17" t="s">
        <v>213</v>
      </c>
      <c r="Q157" s="20">
        <f>'[1]FEBE Academics 2024'!R152</f>
        <v>27653</v>
      </c>
      <c r="R157" s="21">
        <f ca="1">YEARFRAC(Q157,TODAY())</f>
        <v>50.886111111111113</v>
      </c>
      <c r="S157" s="20">
        <f>EDATE(Q157,12*65)</f>
        <v>51395</v>
      </c>
      <c r="T157" s="17">
        <v>30101611</v>
      </c>
      <c r="U157" s="17" t="s">
        <v>105</v>
      </c>
      <c r="V157" s="17" t="s">
        <v>76</v>
      </c>
      <c r="W157" s="17" t="s">
        <v>131</v>
      </c>
      <c r="X157" s="22" t="s">
        <v>761</v>
      </c>
      <c r="Y157" s="23">
        <v>39148</v>
      </c>
      <c r="Z157" s="34" t="s">
        <v>761</v>
      </c>
      <c r="AA157" s="34">
        <v>2018</v>
      </c>
      <c r="AB157" s="34">
        <v>2025</v>
      </c>
      <c r="AC157" s="34" t="s">
        <v>85</v>
      </c>
      <c r="AD157" s="34" t="s">
        <v>762</v>
      </c>
      <c r="AE157" s="18" t="s">
        <v>763</v>
      </c>
      <c r="AF157" s="84" t="s">
        <v>764</v>
      </c>
      <c r="AG157" s="18" t="s">
        <v>765</v>
      </c>
      <c r="AH157" s="17" t="s">
        <v>0</v>
      </c>
      <c r="AI157" s="17" t="s">
        <v>0</v>
      </c>
      <c r="AJ157" s="22">
        <v>0.5</v>
      </c>
      <c r="AK157" s="22">
        <v>0</v>
      </c>
      <c r="AL157" s="22">
        <v>0.25</v>
      </c>
      <c r="AM157" s="25">
        <v>0</v>
      </c>
      <c r="AN157" s="25"/>
      <c r="AO157" s="17" t="s">
        <v>0</v>
      </c>
      <c r="AP157" s="17" t="s">
        <v>0</v>
      </c>
      <c r="AQ157" s="18" t="s">
        <v>1270</v>
      </c>
      <c r="AR157" s="18"/>
      <c r="AS157" s="18" t="s">
        <v>0</v>
      </c>
      <c r="AT157" s="18" t="s">
        <v>0</v>
      </c>
      <c r="AU157" s="18" t="s">
        <v>0</v>
      </c>
      <c r="AV157" s="18">
        <v>15</v>
      </c>
      <c r="AW157" s="18">
        <v>0</v>
      </c>
      <c r="AX157" s="17">
        <v>0</v>
      </c>
      <c r="AY157" s="17" t="s">
        <v>0</v>
      </c>
      <c r="AZ157" s="17">
        <v>1</v>
      </c>
      <c r="BA157" s="17">
        <v>1</v>
      </c>
      <c r="BB157" s="18" t="s">
        <v>766</v>
      </c>
      <c r="BC157" s="18" t="s">
        <v>0</v>
      </c>
      <c r="BD157" s="18" t="s">
        <v>0</v>
      </c>
      <c r="BE157" s="18" t="s">
        <v>0</v>
      </c>
      <c r="BF157" s="18" t="s">
        <v>0</v>
      </c>
    </row>
    <row r="158" spans="1:58" s="68" customFormat="1" ht="17.850000000000001" customHeight="1">
      <c r="A158" s="62" t="s">
        <v>69</v>
      </c>
      <c r="B158" s="62">
        <v>30102143</v>
      </c>
      <c r="C158" s="18" t="s">
        <v>1193</v>
      </c>
      <c r="D158" s="62" t="s">
        <v>1194</v>
      </c>
      <c r="E158" s="62" t="s">
        <v>1195</v>
      </c>
      <c r="F158" s="132" t="s">
        <v>550</v>
      </c>
      <c r="G158" s="132" t="s">
        <v>59</v>
      </c>
      <c r="H158" s="62" t="s">
        <v>60</v>
      </c>
      <c r="I158" s="132" t="s">
        <v>61</v>
      </c>
      <c r="J158" s="62" t="s">
        <v>62</v>
      </c>
      <c r="K158" s="132" t="s">
        <v>63</v>
      </c>
      <c r="L158" s="62" t="s">
        <v>78</v>
      </c>
      <c r="M158" s="62" t="s">
        <v>60</v>
      </c>
      <c r="N158" s="62" t="s">
        <v>65</v>
      </c>
      <c r="O158" s="62" t="s">
        <v>0</v>
      </c>
      <c r="P158" s="62" t="s">
        <v>0</v>
      </c>
      <c r="Q158" s="158"/>
      <c r="R158" s="111"/>
      <c r="S158" s="158"/>
      <c r="T158" s="62">
        <v>30000294</v>
      </c>
      <c r="U158" s="62" t="s">
        <v>80</v>
      </c>
      <c r="V158" s="62" t="s">
        <v>81</v>
      </c>
      <c r="W158" s="62" t="s">
        <v>82</v>
      </c>
      <c r="X158" s="142" t="s">
        <v>1196</v>
      </c>
      <c r="Y158" s="159">
        <v>2024</v>
      </c>
      <c r="Z158" s="142" t="s">
        <v>1197</v>
      </c>
      <c r="AA158" s="142">
        <v>2025</v>
      </c>
      <c r="AB158" s="142">
        <v>2027</v>
      </c>
      <c r="AC158" s="142" t="s">
        <v>85</v>
      </c>
      <c r="AD158" s="142" t="s">
        <v>0</v>
      </c>
      <c r="AE158" s="62" t="s">
        <v>0</v>
      </c>
      <c r="AF158" s="62" t="s">
        <v>0</v>
      </c>
      <c r="AG158" s="62" t="s">
        <v>0</v>
      </c>
      <c r="AH158" s="62" t="s">
        <v>0</v>
      </c>
      <c r="AI158" s="62" t="s">
        <v>0</v>
      </c>
      <c r="AJ158" s="142">
        <v>0.5</v>
      </c>
      <c r="AK158" s="142">
        <v>0</v>
      </c>
      <c r="AL158" s="142">
        <v>0</v>
      </c>
      <c r="AM158" s="18">
        <v>0</v>
      </c>
      <c r="AN158" s="17"/>
      <c r="AO158" s="62" t="s">
        <v>0</v>
      </c>
      <c r="AP158" s="62" t="s">
        <v>0</v>
      </c>
      <c r="AQ158" s="62"/>
      <c r="AR158" s="18" t="s">
        <v>1270</v>
      </c>
      <c r="AS158" s="62" t="s">
        <v>0</v>
      </c>
      <c r="AT158" s="62" t="s">
        <v>0</v>
      </c>
      <c r="AU158" s="62" t="s">
        <v>0</v>
      </c>
      <c r="AV158" s="62" t="s">
        <v>0</v>
      </c>
      <c r="AW158" s="62" t="s">
        <v>0</v>
      </c>
      <c r="AX158" s="17">
        <v>0</v>
      </c>
      <c r="AY158" s="17" t="s">
        <v>0</v>
      </c>
      <c r="AZ158" s="17" t="s">
        <v>0</v>
      </c>
      <c r="BA158" s="17">
        <v>0</v>
      </c>
      <c r="BB158" s="62" t="s">
        <v>1052</v>
      </c>
      <c r="BC158" s="62" t="s">
        <v>0</v>
      </c>
      <c r="BD158" s="62" t="s">
        <v>0</v>
      </c>
      <c r="BE158" s="62" t="s">
        <v>0</v>
      </c>
      <c r="BF158" s="62" t="s">
        <v>0</v>
      </c>
    </row>
    <row r="159" spans="1:58" s="26" customFormat="1" ht="17.850000000000001" customHeight="1">
      <c r="A159" s="17" t="s">
        <v>69</v>
      </c>
      <c r="B159" s="17">
        <v>30012053</v>
      </c>
      <c r="C159" s="18" t="s">
        <v>1253</v>
      </c>
      <c r="D159" s="17" t="s">
        <v>1254</v>
      </c>
      <c r="E159" s="17" t="s">
        <v>1255</v>
      </c>
      <c r="F159" s="19" t="s">
        <v>1256</v>
      </c>
      <c r="G159" s="19" t="s">
        <v>80</v>
      </c>
      <c r="H159" s="17" t="s">
        <v>102</v>
      </c>
      <c r="I159" s="19" t="s">
        <v>76</v>
      </c>
      <c r="J159" s="17" t="s">
        <v>62</v>
      </c>
      <c r="K159" s="19" t="s">
        <v>63</v>
      </c>
      <c r="L159" s="17" t="s">
        <v>64</v>
      </c>
      <c r="M159" s="17" t="s">
        <v>102</v>
      </c>
      <c r="N159" s="17" t="s">
        <v>65</v>
      </c>
      <c r="O159" s="17">
        <v>2010</v>
      </c>
      <c r="P159" s="17" t="s">
        <v>91</v>
      </c>
      <c r="Q159" s="20">
        <f>'[1]FEBE Academics 2024'!R154</f>
        <v>24702</v>
      </c>
      <c r="R159" s="21">
        <f ca="1">YEARFRAC(Q159,TODAY())</f>
        <v>58.963888888888889</v>
      </c>
      <c r="S159" s="20">
        <f>EDATE(Q159,12*65)</f>
        <v>48444</v>
      </c>
      <c r="T159" s="17">
        <v>30000294</v>
      </c>
      <c r="U159" s="17" t="s">
        <v>80</v>
      </c>
      <c r="V159" s="17" t="s">
        <v>81</v>
      </c>
      <c r="W159" s="17" t="s">
        <v>82</v>
      </c>
      <c r="X159" s="22" t="s">
        <v>1257</v>
      </c>
      <c r="Y159" s="23">
        <v>45992</v>
      </c>
      <c r="Z159" s="22" t="s">
        <v>0</v>
      </c>
      <c r="AA159" s="22" t="s">
        <v>0</v>
      </c>
      <c r="AB159" s="22" t="s">
        <v>0</v>
      </c>
      <c r="AC159" s="22" t="s">
        <v>0</v>
      </c>
      <c r="AD159" s="22" t="s">
        <v>0</v>
      </c>
      <c r="AE159" s="17" t="s">
        <v>0</v>
      </c>
      <c r="AF159" s="17" t="s">
        <v>0</v>
      </c>
      <c r="AG159" s="17" t="s">
        <v>0</v>
      </c>
      <c r="AH159" s="17" t="s">
        <v>0</v>
      </c>
      <c r="AI159" s="17" t="s">
        <v>0</v>
      </c>
      <c r="AJ159" s="22">
        <v>1</v>
      </c>
      <c r="AK159" s="22">
        <v>0</v>
      </c>
      <c r="AL159" s="22">
        <v>0</v>
      </c>
      <c r="AM159" s="18">
        <v>0</v>
      </c>
      <c r="AN159" s="17"/>
      <c r="AO159" s="17" t="s">
        <v>0</v>
      </c>
      <c r="AP159" s="17" t="s">
        <v>0</v>
      </c>
      <c r="AQ159" s="18" t="s">
        <v>1270</v>
      </c>
      <c r="AR159" s="18"/>
      <c r="AS159" s="17" t="s">
        <v>0</v>
      </c>
      <c r="AT159" s="17" t="s">
        <v>0</v>
      </c>
      <c r="AU159" s="17" t="s">
        <v>0</v>
      </c>
      <c r="AV159" s="17" t="s">
        <v>0</v>
      </c>
      <c r="AW159" s="18" t="s">
        <v>0</v>
      </c>
      <c r="AX159" s="17">
        <v>0</v>
      </c>
      <c r="AY159" s="17" t="s">
        <v>0</v>
      </c>
      <c r="AZ159" s="17" t="s">
        <v>0</v>
      </c>
      <c r="BA159" s="17">
        <v>0</v>
      </c>
      <c r="BB159" s="62" t="s">
        <v>1052</v>
      </c>
      <c r="BC159" s="18">
        <v>3</v>
      </c>
      <c r="BD159" s="18" t="s">
        <v>0</v>
      </c>
      <c r="BE159" s="18" t="s">
        <v>0</v>
      </c>
      <c r="BF159" s="18" t="s">
        <v>0</v>
      </c>
    </row>
    <row r="160" spans="1:58" s="68" customFormat="1" ht="17.850000000000001" customHeight="1">
      <c r="A160" s="17" t="s">
        <v>135</v>
      </c>
      <c r="B160" s="17">
        <v>30012114</v>
      </c>
      <c r="C160" s="17" t="s">
        <v>1073</v>
      </c>
      <c r="D160" s="17" t="s">
        <v>1074</v>
      </c>
      <c r="E160" s="17" t="s">
        <v>1075</v>
      </c>
      <c r="F160" s="19" t="s">
        <v>1076</v>
      </c>
      <c r="G160" s="19" t="s">
        <v>74</v>
      </c>
      <c r="H160" s="17" t="s">
        <v>60</v>
      </c>
      <c r="I160" s="19" t="s">
        <v>76</v>
      </c>
      <c r="J160" s="17" t="s">
        <v>62</v>
      </c>
      <c r="K160" s="19" t="s">
        <v>63</v>
      </c>
      <c r="L160" s="17" t="s">
        <v>78</v>
      </c>
      <c r="M160" s="17" t="s">
        <v>60</v>
      </c>
      <c r="N160" s="17" t="s">
        <v>65</v>
      </c>
      <c r="O160" s="17">
        <v>531</v>
      </c>
      <c r="P160" s="17" t="s">
        <v>213</v>
      </c>
      <c r="Q160" s="20">
        <f>'[1]FEBE Academics 2024'!R156</f>
        <v>25341</v>
      </c>
      <c r="R160" s="21">
        <f ca="1">YEARFRAC(Q160,TODAY())</f>
        <v>57.213888888888889</v>
      </c>
      <c r="S160" s="20">
        <f>EDATE(Q160,12*65)</f>
        <v>49082</v>
      </c>
      <c r="T160" s="17">
        <v>30015698</v>
      </c>
      <c r="U160" s="17" t="s">
        <v>190</v>
      </c>
      <c r="V160" s="17" t="s">
        <v>191</v>
      </c>
      <c r="W160" s="17" t="s">
        <v>192</v>
      </c>
      <c r="X160" s="22" t="s">
        <v>214</v>
      </c>
      <c r="Y160" s="23">
        <v>45996</v>
      </c>
      <c r="Z160" s="22" t="s">
        <v>0</v>
      </c>
      <c r="AA160" s="22" t="s">
        <v>0</v>
      </c>
      <c r="AB160" s="22" t="s">
        <v>0</v>
      </c>
      <c r="AC160" s="22" t="s">
        <v>0</v>
      </c>
      <c r="AD160" s="22" t="s">
        <v>0</v>
      </c>
      <c r="AE160" s="17" t="s">
        <v>0</v>
      </c>
      <c r="AF160" s="17" t="s">
        <v>0</v>
      </c>
      <c r="AG160" s="17" t="s">
        <v>0</v>
      </c>
      <c r="AH160" s="17" t="s">
        <v>0</v>
      </c>
      <c r="AI160" s="17" t="s">
        <v>0</v>
      </c>
      <c r="AJ160" s="22">
        <v>0.5</v>
      </c>
      <c r="AK160" s="22">
        <v>0</v>
      </c>
      <c r="AL160" s="22">
        <v>0</v>
      </c>
      <c r="AM160" s="22">
        <v>0</v>
      </c>
      <c r="AN160" s="22"/>
      <c r="AO160" s="17" t="s">
        <v>0</v>
      </c>
      <c r="AP160" s="17" t="s">
        <v>0</v>
      </c>
      <c r="AQ160" s="39"/>
      <c r="AR160" s="18" t="s">
        <v>1270</v>
      </c>
      <c r="AS160" s="17" t="s">
        <v>0</v>
      </c>
      <c r="AT160" s="17" t="s">
        <v>0</v>
      </c>
      <c r="AU160" s="17" t="s">
        <v>0</v>
      </c>
      <c r="AV160" s="17" t="s">
        <v>0</v>
      </c>
      <c r="AW160" s="18" t="s">
        <v>0</v>
      </c>
      <c r="AX160" s="17">
        <v>0</v>
      </c>
      <c r="AY160" s="17" t="s">
        <v>0</v>
      </c>
      <c r="AZ160" s="17" t="s">
        <v>0</v>
      </c>
      <c r="BA160" s="17">
        <v>0</v>
      </c>
      <c r="BB160" s="17" t="s">
        <v>94</v>
      </c>
      <c r="BC160" s="18" t="s">
        <v>0</v>
      </c>
      <c r="BD160" s="18" t="s">
        <v>0</v>
      </c>
      <c r="BE160" s="18" t="s">
        <v>0</v>
      </c>
      <c r="BF160" s="18" t="s">
        <v>0</v>
      </c>
    </row>
    <row r="161" spans="1:58" s="47" customFormat="1" ht="17.850000000000001" customHeight="1">
      <c r="A161" s="17" t="s">
        <v>115</v>
      </c>
      <c r="B161" s="17">
        <v>30012169</v>
      </c>
      <c r="C161" s="17" t="s">
        <v>552</v>
      </c>
      <c r="D161" s="17" t="s">
        <v>553</v>
      </c>
      <c r="E161" s="17" t="s">
        <v>554</v>
      </c>
      <c r="F161" s="19" t="s">
        <v>555</v>
      </c>
      <c r="G161" s="19" t="s">
        <v>190</v>
      </c>
      <c r="H161" s="17" t="s">
        <v>60</v>
      </c>
      <c r="I161" s="19" t="s">
        <v>61</v>
      </c>
      <c r="J161" s="17" t="s">
        <v>101</v>
      </c>
      <c r="K161" s="19" t="s">
        <v>63</v>
      </c>
      <c r="L161" s="17" t="s">
        <v>78</v>
      </c>
      <c r="M161" s="17" t="s">
        <v>60</v>
      </c>
      <c r="N161" s="17" t="s">
        <v>65</v>
      </c>
      <c r="O161" s="17">
        <v>110</v>
      </c>
      <c r="P161" s="17" t="s">
        <v>380</v>
      </c>
      <c r="Q161" s="20">
        <f>'[1]FEBE Academics 2024'!R157</f>
        <v>23500</v>
      </c>
      <c r="R161" s="21">
        <f ca="1">YEARFRAC(Q161,TODAY())</f>
        <v>62.255555555555553</v>
      </c>
      <c r="S161" s="20">
        <f>EDATE(Q161,12*65)</f>
        <v>47241</v>
      </c>
      <c r="T161" s="17">
        <v>30097178</v>
      </c>
      <c r="U161" s="17" t="s">
        <v>105</v>
      </c>
      <c r="V161" s="17" t="s">
        <v>66</v>
      </c>
      <c r="W161" s="17" t="s">
        <v>123</v>
      </c>
      <c r="X161" s="22" t="s">
        <v>556</v>
      </c>
      <c r="Y161" s="23">
        <v>36495</v>
      </c>
      <c r="Z161" s="22" t="s">
        <v>0</v>
      </c>
      <c r="AA161" s="22" t="s">
        <v>0</v>
      </c>
      <c r="AB161" s="22" t="s">
        <v>0</v>
      </c>
      <c r="AC161" s="22" t="s">
        <v>0</v>
      </c>
      <c r="AD161" s="22" t="s">
        <v>0</v>
      </c>
      <c r="AE161" s="17" t="s">
        <v>0</v>
      </c>
      <c r="AF161" s="17" t="s">
        <v>0</v>
      </c>
      <c r="AG161" s="17" t="s">
        <v>0</v>
      </c>
      <c r="AH161" s="17" t="s">
        <v>0</v>
      </c>
      <c r="AI161" s="17" t="s">
        <v>0</v>
      </c>
      <c r="AJ161" s="22">
        <v>0.5</v>
      </c>
      <c r="AK161" s="22">
        <v>0</v>
      </c>
      <c r="AL161" s="22">
        <v>0</v>
      </c>
      <c r="AM161" s="25">
        <v>0</v>
      </c>
      <c r="AN161" s="25"/>
      <c r="AO161" s="17" t="s">
        <v>0</v>
      </c>
      <c r="AP161" s="17" t="s">
        <v>0</v>
      </c>
      <c r="AQ161" s="18" t="s">
        <v>1270</v>
      </c>
      <c r="AR161" s="18" t="s">
        <v>1270</v>
      </c>
      <c r="AS161" s="17" t="s">
        <v>0</v>
      </c>
      <c r="AT161" s="17" t="s">
        <v>0</v>
      </c>
      <c r="AU161" s="17" t="s">
        <v>0</v>
      </c>
      <c r="AV161" s="17" t="s">
        <v>0</v>
      </c>
      <c r="AW161" s="18" t="s">
        <v>0</v>
      </c>
      <c r="AX161" s="17">
        <v>0</v>
      </c>
      <c r="AY161" s="17" t="s">
        <v>0</v>
      </c>
      <c r="AZ161" s="17" t="s">
        <v>0</v>
      </c>
      <c r="BA161" s="17">
        <v>0</v>
      </c>
      <c r="BB161" s="17" t="s">
        <v>0</v>
      </c>
      <c r="BC161" s="18" t="s">
        <v>0</v>
      </c>
      <c r="BD161" s="18" t="s">
        <v>0</v>
      </c>
      <c r="BE161" s="18" t="s">
        <v>0</v>
      </c>
      <c r="BF161" s="18" t="s">
        <v>0</v>
      </c>
    </row>
    <row r="162" spans="1:58" s="26" customFormat="1" ht="17.850000000000001" customHeight="1">
      <c r="A162" s="17" t="s">
        <v>69</v>
      </c>
      <c r="B162" s="17">
        <v>30091976</v>
      </c>
      <c r="C162" s="17" t="s">
        <v>498</v>
      </c>
      <c r="D162" s="17" t="s">
        <v>499</v>
      </c>
      <c r="E162" s="17" t="s">
        <v>500</v>
      </c>
      <c r="F162" s="19" t="s">
        <v>501</v>
      </c>
      <c r="G162" s="19" t="s">
        <v>74</v>
      </c>
      <c r="H162" s="17" t="s">
        <v>258</v>
      </c>
      <c r="I162" s="19" t="s">
        <v>76</v>
      </c>
      <c r="J162" s="17" t="s">
        <v>62</v>
      </c>
      <c r="K162" s="19" t="s">
        <v>120</v>
      </c>
      <c r="L162" s="17" t="s">
        <v>78</v>
      </c>
      <c r="M162" s="17" t="s">
        <v>258</v>
      </c>
      <c r="N162" s="17" t="s">
        <v>281</v>
      </c>
      <c r="O162" s="17">
        <v>560</v>
      </c>
      <c r="P162" s="17" t="s">
        <v>502</v>
      </c>
      <c r="Q162" s="37"/>
      <c r="R162" s="38"/>
      <c r="S162" s="37"/>
      <c r="T162" s="17">
        <v>30000294</v>
      </c>
      <c r="U162" s="17" t="s">
        <v>80</v>
      </c>
      <c r="V162" s="17" t="s">
        <v>81</v>
      </c>
      <c r="W162" s="17" t="s">
        <v>82</v>
      </c>
      <c r="X162" s="22" t="s">
        <v>503</v>
      </c>
      <c r="Y162" s="59" t="s">
        <v>0</v>
      </c>
      <c r="Z162" s="22" t="s">
        <v>504</v>
      </c>
      <c r="AA162" s="22" t="s">
        <v>0</v>
      </c>
      <c r="AB162" s="22">
        <v>2025</v>
      </c>
      <c r="AC162" s="22" t="s">
        <v>0</v>
      </c>
      <c r="AD162" s="22" t="s">
        <v>0</v>
      </c>
      <c r="AE162" s="17" t="s">
        <v>0</v>
      </c>
      <c r="AF162" s="17" t="s">
        <v>0</v>
      </c>
      <c r="AG162" s="17" t="s">
        <v>0</v>
      </c>
      <c r="AH162" s="17" t="s">
        <v>0</v>
      </c>
      <c r="AI162" s="17" t="s">
        <v>0</v>
      </c>
      <c r="AJ162" s="22">
        <v>0.25</v>
      </c>
      <c r="AK162" s="22">
        <v>0</v>
      </c>
      <c r="AL162" s="22">
        <v>0</v>
      </c>
      <c r="AM162" s="17">
        <v>0</v>
      </c>
      <c r="AN162" s="17"/>
      <c r="AO162" s="17" t="s">
        <v>0</v>
      </c>
      <c r="AP162" s="17" t="s">
        <v>0</v>
      </c>
      <c r="AQ162" s="18" t="s">
        <v>1270</v>
      </c>
      <c r="AR162" s="18" t="s">
        <v>1270</v>
      </c>
      <c r="AS162" s="17" t="s">
        <v>0</v>
      </c>
      <c r="AT162" s="17" t="s">
        <v>0</v>
      </c>
      <c r="AU162" s="17" t="s">
        <v>0</v>
      </c>
      <c r="AV162" s="17" t="s">
        <v>0</v>
      </c>
      <c r="AW162" s="39">
        <v>0</v>
      </c>
      <c r="AX162" s="17">
        <v>0</v>
      </c>
      <c r="AY162" s="17" t="s">
        <v>0</v>
      </c>
      <c r="AZ162" s="17">
        <v>0</v>
      </c>
      <c r="BA162" s="17">
        <v>0</v>
      </c>
      <c r="BB162" s="17" t="s">
        <v>0</v>
      </c>
      <c r="BC162" s="17" t="s">
        <v>0</v>
      </c>
      <c r="BD162" s="17" t="s">
        <v>0</v>
      </c>
      <c r="BE162" s="17" t="s">
        <v>0</v>
      </c>
      <c r="BF162" s="17" t="s">
        <v>0</v>
      </c>
    </row>
    <row r="163" spans="1:58" s="68" customFormat="1" ht="17.850000000000001" customHeight="1">
      <c r="A163" s="17" t="s">
        <v>95</v>
      </c>
      <c r="B163" s="17">
        <v>30012200</v>
      </c>
      <c r="C163" s="205" t="s">
        <v>1071</v>
      </c>
      <c r="D163" s="17" t="s">
        <v>1072</v>
      </c>
      <c r="E163" s="17" t="s">
        <v>435</v>
      </c>
      <c r="F163" s="19" t="s">
        <v>171</v>
      </c>
      <c r="G163" s="19" t="s">
        <v>74</v>
      </c>
      <c r="H163" s="17" t="s">
        <v>102</v>
      </c>
      <c r="I163" s="19" t="s">
        <v>76</v>
      </c>
      <c r="J163" s="17" t="s">
        <v>62</v>
      </c>
      <c r="K163" s="19" t="s">
        <v>63</v>
      </c>
      <c r="L163" s="17" t="s">
        <v>78</v>
      </c>
      <c r="M163" s="17" t="s">
        <v>102</v>
      </c>
      <c r="N163" s="17" t="s">
        <v>65</v>
      </c>
      <c r="O163" s="17">
        <v>1012</v>
      </c>
      <c r="P163" s="17" t="s">
        <v>104</v>
      </c>
      <c r="Q163" s="20">
        <f>'[1]FEBE Academics 2024'!R158</f>
        <v>28079</v>
      </c>
      <c r="R163" s="21">
        <f ca="1">YEARFRAC(Q163,TODAY())</f>
        <v>49.722222222222221</v>
      </c>
      <c r="S163" s="20">
        <f>EDATE(Q163,12*65)</f>
        <v>51820</v>
      </c>
      <c r="T163" s="17">
        <v>30082157</v>
      </c>
      <c r="U163" s="17" t="s">
        <v>105</v>
      </c>
      <c r="V163" s="17" t="s">
        <v>106</v>
      </c>
      <c r="W163" s="17" t="s">
        <v>107</v>
      </c>
      <c r="X163" s="203" t="s">
        <v>333</v>
      </c>
      <c r="Y163" s="23">
        <v>45996</v>
      </c>
      <c r="Z163" s="22" t="s">
        <v>356</v>
      </c>
      <c r="AA163" s="34" t="s">
        <v>0</v>
      </c>
      <c r="AB163" s="34">
        <v>2024</v>
      </c>
      <c r="AC163" s="34" t="s">
        <v>85</v>
      </c>
      <c r="AD163" s="22" t="s">
        <v>0</v>
      </c>
      <c r="AE163" s="17" t="s">
        <v>0</v>
      </c>
      <c r="AF163" s="17" t="s">
        <v>0</v>
      </c>
      <c r="AG163" s="17" t="s">
        <v>0</v>
      </c>
      <c r="AH163" s="17" t="s">
        <v>0</v>
      </c>
      <c r="AI163" s="17" t="s">
        <v>0</v>
      </c>
      <c r="AJ163" s="22">
        <v>1</v>
      </c>
      <c r="AK163" s="22">
        <v>0</v>
      </c>
      <c r="AL163" s="22">
        <v>0</v>
      </c>
      <c r="AM163" s="43">
        <f>0.3333+0.333</f>
        <v>0.6663</v>
      </c>
      <c r="AN163" s="22"/>
      <c r="AO163" s="17" t="s">
        <v>0</v>
      </c>
      <c r="AP163" s="17" t="s">
        <v>0</v>
      </c>
      <c r="AQ163" s="62"/>
      <c r="AR163" s="18" t="s">
        <v>1270</v>
      </c>
      <c r="AS163" s="17" t="s">
        <v>0</v>
      </c>
      <c r="AT163" s="17" t="s">
        <v>0</v>
      </c>
      <c r="AU163" s="17" t="s">
        <v>0</v>
      </c>
      <c r="AV163" s="17" t="s">
        <v>0</v>
      </c>
      <c r="AW163" s="18" t="s">
        <v>0</v>
      </c>
      <c r="AX163" s="17">
        <v>0</v>
      </c>
      <c r="AY163" s="17" t="s">
        <v>0</v>
      </c>
      <c r="AZ163" s="17" t="s">
        <v>0</v>
      </c>
      <c r="BA163" s="17">
        <v>0</v>
      </c>
      <c r="BB163" s="17" t="s">
        <v>1052</v>
      </c>
      <c r="BC163" s="18" t="s">
        <v>0</v>
      </c>
      <c r="BD163" s="18" t="s">
        <v>0</v>
      </c>
      <c r="BE163" s="18" t="s">
        <v>0</v>
      </c>
      <c r="BF163" s="18" t="s">
        <v>0</v>
      </c>
    </row>
    <row r="164" spans="1:58" ht="17.850000000000001" customHeight="1">
      <c r="A164" s="17" t="s">
        <v>217</v>
      </c>
      <c r="B164" s="17">
        <v>30084829</v>
      </c>
      <c r="C164" s="17" t="s">
        <v>329</v>
      </c>
      <c r="D164" s="17" t="s">
        <v>330</v>
      </c>
      <c r="E164" s="17" t="s">
        <v>331</v>
      </c>
      <c r="F164" s="19" t="s">
        <v>280</v>
      </c>
      <c r="G164" s="19" t="s">
        <v>74</v>
      </c>
      <c r="H164" s="17" t="s">
        <v>332</v>
      </c>
      <c r="I164" s="19" t="s">
        <v>76</v>
      </c>
      <c r="J164" s="17" t="s">
        <v>62</v>
      </c>
      <c r="K164" s="19" t="s">
        <v>63</v>
      </c>
      <c r="L164" s="17" t="s">
        <v>222</v>
      </c>
      <c r="M164" s="17" t="s">
        <v>332</v>
      </c>
      <c r="N164" s="17" t="s">
        <v>281</v>
      </c>
      <c r="O164" s="17">
        <v>3010</v>
      </c>
      <c r="P164" s="17" t="s">
        <v>293</v>
      </c>
      <c r="Q164" s="20">
        <f>'[1]FEBE Academics 2024'!R159</f>
        <v>29075</v>
      </c>
      <c r="R164" s="21">
        <f ca="1">YEARFRAC(Q164,TODAY())</f>
        <v>46.991666666666667</v>
      </c>
      <c r="S164" s="20">
        <f>EDATE(Q164,12*65)</f>
        <v>52817</v>
      </c>
      <c r="T164" s="17">
        <v>30007939</v>
      </c>
      <c r="U164" s="17" t="s">
        <v>74</v>
      </c>
      <c r="V164" s="17" t="s">
        <v>223</v>
      </c>
      <c r="W164" s="17" t="s">
        <v>224</v>
      </c>
      <c r="X164" s="22" t="s">
        <v>333</v>
      </c>
      <c r="Y164" s="23">
        <v>45972</v>
      </c>
      <c r="Z164" s="34" t="s">
        <v>334</v>
      </c>
      <c r="AA164" s="34">
        <v>2014</v>
      </c>
      <c r="AB164" s="34">
        <v>2021</v>
      </c>
      <c r="AC164" s="34" t="s">
        <v>85</v>
      </c>
      <c r="AD164" s="34" t="s">
        <v>335</v>
      </c>
      <c r="AE164" s="18" t="s">
        <v>0</v>
      </c>
      <c r="AF164" s="18" t="s">
        <v>0</v>
      </c>
      <c r="AG164" s="18" t="s">
        <v>0</v>
      </c>
      <c r="AH164" s="17" t="s">
        <v>0</v>
      </c>
      <c r="AI164" s="17" t="s">
        <v>0</v>
      </c>
      <c r="AJ164" s="22">
        <v>0.5</v>
      </c>
      <c r="AK164" s="36">
        <v>7.0000000000000007E-2</v>
      </c>
      <c r="AL164" s="22">
        <v>0</v>
      </c>
      <c r="AM164" s="18">
        <v>0</v>
      </c>
      <c r="AN164" s="17"/>
      <c r="AO164" s="17" t="s">
        <v>0</v>
      </c>
      <c r="AP164" s="17" t="s">
        <v>0</v>
      </c>
      <c r="AQ164" s="18" t="s">
        <v>1270</v>
      </c>
      <c r="AR164" s="18"/>
      <c r="AS164" s="18" t="s">
        <v>0</v>
      </c>
      <c r="AT164" s="18" t="s">
        <v>0</v>
      </c>
      <c r="AU164" s="18" t="s">
        <v>0</v>
      </c>
      <c r="AV164" s="18">
        <v>39</v>
      </c>
      <c r="AW164" s="18">
        <v>0</v>
      </c>
      <c r="AX164" s="17">
        <v>0</v>
      </c>
      <c r="AY164" s="17">
        <v>2</v>
      </c>
      <c r="AZ164" s="17">
        <v>2</v>
      </c>
      <c r="BA164" s="17">
        <v>2</v>
      </c>
      <c r="BB164" s="40" t="s">
        <v>336</v>
      </c>
      <c r="BC164" s="18">
        <v>2</v>
      </c>
      <c r="BD164" s="18" t="s">
        <v>0</v>
      </c>
      <c r="BE164" s="18" t="s">
        <v>0</v>
      </c>
      <c r="BF164" s="18" t="s">
        <v>0</v>
      </c>
    </row>
    <row r="165" spans="1:58" ht="17.850000000000001" customHeight="1">
      <c r="A165" s="17" t="s">
        <v>69</v>
      </c>
      <c r="B165" s="17">
        <v>30012225</v>
      </c>
      <c r="C165" s="17" t="s">
        <v>1049</v>
      </c>
      <c r="D165" s="17" t="s">
        <v>1050</v>
      </c>
      <c r="E165" s="17" t="s">
        <v>1051</v>
      </c>
      <c r="F165" s="19" t="s">
        <v>171</v>
      </c>
      <c r="G165" s="19" t="s">
        <v>74</v>
      </c>
      <c r="H165" s="17" t="s">
        <v>568</v>
      </c>
      <c r="I165" s="19" t="s">
        <v>76</v>
      </c>
      <c r="J165" s="17" t="s">
        <v>62</v>
      </c>
      <c r="K165" s="19" t="s">
        <v>120</v>
      </c>
      <c r="L165" s="17" t="s">
        <v>64</v>
      </c>
      <c r="M165" s="17" t="s">
        <v>568</v>
      </c>
      <c r="N165" s="17" t="s">
        <v>65</v>
      </c>
      <c r="O165" s="17">
        <v>2020</v>
      </c>
      <c r="P165" s="17" t="s">
        <v>876</v>
      </c>
      <c r="Q165" s="37">
        <f>'[1]FEBE Academics 2024'!R160</f>
        <v>29919</v>
      </c>
      <c r="R165" s="38">
        <f ca="1">YEARFRAC(Q165,TODAY())</f>
        <v>44.68333333333333</v>
      </c>
      <c r="S165" s="37">
        <f>EDATE(Q165,12*65)</f>
        <v>53660</v>
      </c>
      <c r="T165" s="17">
        <v>30000294</v>
      </c>
      <c r="U165" s="17" t="s">
        <v>80</v>
      </c>
      <c r="V165" s="17" t="s">
        <v>81</v>
      </c>
      <c r="W165" s="17" t="s">
        <v>82</v>
      </c>
      <c r="X165" s="22" t="s">
        <v>385</v>
      </c>
      <c r="Y165" s="23">
        <v>45999</v>
      </c>
      <c r="Z165" s="22" t="s">
        <v>83</v>
      </c>
      <c r="AA165" s="22" t="s">
        <v>0</v>
      </c>
      <c r="AB165" s="22">
        <v>2021</v>
      </c>
      <c r="AC165" s="22" t="s">
        <v>0</v>
      </c>
      <c r="AD165" s="22" t="s">
        <v>0</v>
      </c>
      <c r="AE165" s="17" t="s">
        <v>0</v>
      </c>
      <c r="AF165" s="17" t="s">
        <v>0</v>
      </c>
      <c r="AG165" s="17" t="s">
        <v>0</v>
      </c>
      <c r="AH165" s="17" t="s">
        <v>0</v>
      </c>
      <c r="AI165" s="17" t="s">
        <v>0</v>
      </c>
      <c r="AJ165" s="22">
        <v>0.25</v>
      </c>
      <c r="AK165" s="22">
        <v>0</v>
      </c>
      <c r="AL165" s="22">
        <v>0</v>
      </c>
      <c r="AM165" s="17">
        <v>0</v>
      </c>
      <c r="AN165" s="17"/>
      <c r="AO165" s="17" t="s">
        <v>0</v>
      </c>
      <c r="AP165" s="17" t="s">
        <v>0</v>
      </c>
      <c r="AQ165" s="62"/>
      <c r="AR165" s="18" t="s">
        <v>1270</v>
      </c>
      <c r="AS165" s="17" t="s">
        <v>0</v>
      </c>
      <c r="AT165" s="17" t="s">
        <v>0</v>
      </c>
      <c r="AU165" s="17" t="s">
        <v>0</v>
      </c>
      <c r="AV165" s="17" t="s">
        <v>0</v>
      </c>
      <c r="AW165" s="39" t="s">
        <v>0</v>
      </c>
      <c r="AX165" s="17">
        <v>0</v>
      </c>
      <c r="AY165" s="17" t="s">
        <v>0</v>
      </c>
      <c r="AZ165" s="17" t="s">
        <v>0</v>
      </c>
      <c r="BA165" s="17">
        <v>0</v>
      </c>
      <c r="BB165" s="17" t="s">
        <v>1052</v>
      </c>
      <c r="BC165" s="17" t="s">
        <v>0</v>
      </c>
      <c r="BD165" s="17" t="s">
        <v>0</v>
      </c>
      <c r="BE165" s="17" t="s">
        <v>0</v>
      </c>
      <c r="BF165" s="17" t="s">
        <v>0</v>
      </c>
    </row>
    <row r="166" spans="1:58" s="68" customFormat="1" ht="17.850000000000001" customHeight="1">
      <c r="A166" s="17" t="s">
        <v>95</v>
      </c>
      <c r="B166" s="17">
        <v>30104273</v>
      </c>
      <c r="C166" s="17" t="s">
        <v>1068</v>
      </c>
      <c r="D166" s="17" t="s">
        <v>1069</v>
      </c>
      <c r="E166" s="17" t="s">
        <v>1070</v>
      </c>
      <c r="F166" s="19" t="s">
        <v>171</v>
      </c>
      <c r="G166" s="19" t="s">
        <v>74</v>
      </c>
      <c r="H166" s="17" t="s">
        <v>60</v>
      </c>
      <c r="I166" s="19" t="s">
        <v>76</v>
      </c>
      <c r="J166" s="17" t="s">
        <v>62</v>
      </c>
      <c r="K166" s="19" t="s">
        <v>63</v>
      </c>
      <c r="L166" s="17" t="s">
        <v>78</v>
      </c>
      <c r="M166" s="17" t="s">
        <v>60</v>
      </c>
      <c r="N166" s="17" t="s">
        <v>65</v>
      </c>
      <c r="O166" s="17">
        <v>1012</v>
      </c>
      <c r="P166" s="17" t="s">
        <v>104</v>
      </c>
      <c r="Q166" s="20">
        <f>'[1]FEBE Academics 2024'!R161</f>
        <v>34666</v>
      </c>
      <c r="R166" s="21">
        <f ca="1">YEARFRAC(Q166,TODAY())</f>
        <v>31.68611111111111</v>
      </c>
      <c r="S166" s="20">
        <f>EDATE(Q166,12*65)</f>
        <v>58407</v>
      </c>
      <c r="T166" s="17">
        <v>30110521</v>
      </c>
      <c r="U166" s="17" t="s">
        <v>105</v>
      </c>
      <c r="V166" s="17" t="s">
        <v>106</v>
      </c>
      <c r="W166" s="17" t="s">
        <v>107</v>
      </c>
      <c r="X166" s="22" t="s">
        <v>83</v>
      </c>
      <c r="Y166" s="23">
        <v>45738</v>
      </c>
      <c r="Z166" s="22" t="s">
        <v>0</v>
      </c>
      <c r="AA166" s="22" t="s">
        <v>0</v>
      </c>
      <c r="AB166" s="22" t="s">
        <v>0</v>
      </c>
      <c r="AC166" s="22" t="s">
        <v>0</v>
      </c>
      <c r="AD166" s="22" t="s">
        <v>0</v>
      </c>
      <c r="AE166" s="17" t="s">
        <v>0</v>
      </c>
      <c r="AF166" s="17" t="s">
        <v>0</v>
      </c>
      <c r="AG166" s="17" t="s">
        <v>0</v>
      </c>
      <c r="AH166" s="17" t="s">
        <v>0</v>
      </c>
      <c r="AI166" s="17" t="s">
        <v>0</v>
      </c>
      <c r="AJ166" s="22">
        <v>0.5</v>
      </c>
      <c r="AK166" s="22">
        <v>0</v>
      </c>
      <c r="AL166" s="22">
        <v>0.125</v>
      </c>
      <c r="AM166" s="32">
        <v>0</v>
      </c>
      <c r="AN166" s="22"/>
      <c r="AO166" s="17" t="s">
        <v>0</v>
      </c>
      <c r="AP166" s="17" t="s">
        <v>0</v>
      </c>
      <c r="AQ166" s="62"/>
      <c r="AR166" s="18" t="s">
        <v>1270</v>
      </c>
      <c r="AS166" s="17" t="s">
        <v>0</v>
      </c>
      <c r="AT166" s="17" t="s">
        <v>0</v>
      </c>
      <c r="AU166" s="17" t="s">
        <v>0</v>
      </c>
      <c r="AV166" s="17" t="s">
        <v>0</v>
      </c>
      <c r="AW166" s="18">
        <v>2</v>
      </c>
      <c r="AX166" s="17">
        <v>6</v>
      </c>
      <c r="AY166" s="17" t="s">
        <v>0</v>
      </c>
      <c r="AZ166" s="17">
        <v>1</v>
      </c>
      <c r="BA166" s="17">
        <v>3</v>
      </c>
      <c r="BB166" s="17" t="s">
        <v>0</v>
      </c>
      <c r="BC166" s="18" t="s">
        <v>0</v>
      </c>
      <c r="BD166" s="18" t="s">
        <v>0</v>
      </c>
      <c r="BE166" s="18" t="s">
        <v>0</v>
      </c>
      <c r="BF166" s="18" t="s">
        <v>0</v>
      </c>
    </row>
    <row r="167" spans="1:58" s="68" customFormat="1" ht="17.850000000000001" customHeight="1">
      <c r="A167" s="17" t="s">
        <v>217</v>
      </c>
      <c r="B167" s="17">
        <v>30098957</v>
      </c>
      <c r="C167" s="17" t="s">
        <v>1035</v>
      </c>
      <c r="D167" s="17" t="s">
        <v>1036</v>
      </c>
      <c r="E167" s="17" t="s">
        <v>1037</v>
      </c>
      <c r="F167" s="19" t="s">
        <v>1038</v>
      </c>
      <c r="G167" s="19" t="s">
        <v>59</v>
      </c>
      <c r="H167" s="17" t="s">
        <v>258</v>
      </c>
      <c r="I167" s="19" t="s">
        <v>61</v>
      </c>
      <c r="J167" s="17" t="s">
        <v>62</v>
      </c>
      <c r="K167" s="19" t="s">
        <v>63</v>
      </c>
      <c r="L167" s="17" t="s">
        <v>222</v>
      </c>
      <c r="M167" s="17" t="s">
        <v>258</v>
      </c>
      <c r="N167" s="17" t="s">
        <v>65</v>
      </c>
      <c r="O167" s="17">
        <v>3020</v>
      </c>
      <c r="P167" s="17" t="s">
        <v>299</v>
      </c>
      <c r="Q167" s="20">
        <f>'[1]FEBE Academics 2024'!R162</f>
        <v>32713</v>
      </c>
      <c r="R167" s="21">
        <f ca="1">YEARFRAC(Q167,TODAY())</f>
        <v>37.030555555555559</v>
      </c>
      <c r="S167" s="20">
        <f>EDATE(Q167,12*65)</f>
        <v>56454</v>
      </c>
      <c r="T167" s="17">
        <v>30007939</v>
      </c>
      <c r="U167" s="17" t="s">
        <v>74</v>
      </c>
      <c r="V167" s="17" t="s">
        <v>223</v>
      </c>
      <c r="W167" s="17" t="s">
        <v>224</v>
      </c>
      <c r="X167" s="17" t="s">
        <v>225</v>
      </c>
      <c r="Y167" s="23">
        <v>45924</v>
      </c>
      <c r="Z167" s="22" t="s">
        <v>1039</v>
      </c>
      <c r="AA167" s="22" t="s">
        <v>0</v>
      </c>
      <c r="AB167" s="22">
        <v>2023</v>
      </c>
      <c r="AC167" s="22" t="s">
        <v>0</v>
      </c>
      <c r="AD167" s="22" t="s">
        <v>0</v>
      </c>
      <c r="AE167" s="17" t="s">
        <v>0</v>
      </c>
      <c r="AF167" s="17" t="s">
        <v>0</v>
      </c>
      <c r="AG167" s="17" t="s">
        <v>0</v>
      </c>
      <c r="AH167" s="17" t="s">
        <v>0</v>
      </c>
      <c r="AI167" s="17" t="s">
        <v>0</v>
      </c>
      <c r="AJ167" s="22">
        <v>0.25</v>
      </c>
      <c r="AK167" s="22">
        <v>0</v>
      </c>
      <c r="AL167" s="22">
        <v>0</v>
      </c>
      <c r="AM167" s="18">
        <v>0</v>
      </c>
      <c r="AN167" s="17"/>
      <c r="AO167" s="17" t="s">
        <v>0</v>
      </c>
      <c r="AP167" s="17" t="s">
        <v>0</v>
      </c>
      <c r="AQ167" s="17"/>
      <c r="AR167" s="18" t="s">
        <v>1270</v>
      </c>
      <c r="AS167" s="17" t="s">
        <v>0</v>
      </c>
      <c r="AT167" s="17" t="s">
        <v>0</v>
      </c>
      <c r="AU167" s="17" t="s">
        <v>0</v>
      </c>
      <c r="AV167" s="17" t="s">
        <v>0</v>
      </c>
      <c r="AW167" s="18" t="s">
        <v>0</v>
      </c>
      <c r="AX167" s="17">
        <v>0</v>
      </c>
      <c r="AY167" s="17" t="s">
        <v>0</v>
      </c>
      <c r="AZ167" s="17" t="s">
        <v>0</v>
      </c>
      <c r="BA167" s="17">
        <v>0</v>
      </c>
      <c r="BB167" s="17" t="s">
        <v>0</v>
      </c>
      <c r="BC167" s="18" t="s">
        <v>0</v>
      </c>
      <c r="BD167" s="18">
        <v>1</v>
      </c>
      <c r="BE167" s="18" t="s">
        <v>0</v>
      </c>
      <c r="BF167" s="18" t="s">
        <v>0</v>
      </c>
    </row>
    <row r="168" spans="1:58" s="26" customFormat="1" ht="17.850000000000001" customHeight="1">
      <c r="A168" s="147" t="s">
        <v>115</v>
      </c>
      <c r="B168" s="27">
        <v>30089167</v>
      </c>
      <c r="C168" s="27" t="s">
        <v>973</v>
      </c>
      <c r="D168" s="27" t="s">
        <v>974</v>
      </c>
      <c r="E168" s="27" t="s">
        <v>975</v>
      </c>
      <c r="F168" s="29" t="s">
        <v>63</v>
      </c>
      <c r="G168" s="29" t="s">
        <v>80</v>
      </c>
      <c r="H168" s="27" t="s">
        <v>933</v>
      </c>
      <c r="I168" s="29" t="s">
        <v>76</v>
      </c>
      <c r="J168" s="27" t="s">
        <v>62</v>
      </c>
      <c r="K168" s="29" t="s">
        <v>120</v>
      </c>
      <c r="L168" s="27" t="s">
        <v>78</v>
      </c>
      <c r="M168" s="27" t="s">
        <v>121</v>
      </c>
      <c r="N168" s="27" t="s">
        <v>373</v>
      </c>
      <c r="O168" s="27"/>
      <c r="P168" s="27"/>
      <c r="Q168" s="44">
        <v>28135</v>
      </c>
      <c r="R168" s="27"/>
      <c r="S168" s="27"/>
      <c r="T168" s="27">
        <v>30006433</v>
      </c>
      <c r="U168" s="27" t="s">
        <v>74</v>
      </c>
      <c r="V168" s="27" t="s">
        <v>171</v>
      </c>
      <c r="W168" s="27" t="s">
        <v>976</v>
      </c>
      <c r="X168" s="27" t="s">
        <v>142</v>
      </c>
      <c r="Y168" s="42">
        <v>42370</v>
      </c>
      <c r="Z168" s="27"/>
      <c r="AA168" s="27"/>
      <c r="AB168" s="27"/>
      <c r="AC168" s="27"/>
      <c r="AD168" s="27"/>
      <c r="AE168" s="27"/>
      <c r="AF168" s="27"/>
      <c r="AG168" s="27"/>
      <c r="AH168" s="27"/>
      <c r="AI168" s="27"/>
      <c r="AJ168" s="27"/>
      <c r="AK168" s="27"/>
      <c r="AL168" s="27"/>
      <c r="AM168" s="27"/>
      <c r="AN168" s="17">
        <v>0.33329999999999999</v>
      </c>
      <c r="AO168" s="27"/>
      <c r="AP168" s="27"/>
      <c r="AQ168" s="18" t="s">
        <v>1270</v>
      </c>
      <c r="AR168" s="18"/>
      <c r="AS168" s="27"/>
      <c r="AT168" s="27"/>
      <c r="AU168" s="27"/>
      <c r="AV168" s="27"/>
      <c r="AW168" s="27"/>
      <c r="AX168" s="27"/>
      <c r="AY168" s="27"/>
      <c r="AZ168" s="27"/>
      <c r="BA168" s="27"/>
      <c r="BB168" s="27"/>
      <c r="BC168" s="27"/>
      <c r="BD168" s="27"/>
      <c r="BE168" s="27"/>
      <c r="BF168" s="27"/>
    </row>
    <row r="169" spans="1:58" s="26" customFormat="1" ht="17.850000000000001" customHeight="1">
      <c r="A169" s="17" t="s">
        <v>260</v>
      </c>
      <c r="B169" s="17">
        <v>30097049</v>
      </c>
      <c r="C169" s="35" t="s">
        <v>722</v>
      </c>
      <c r="D169" s="49" t="s">
        <v>723</v>
      </c>
      <c r="E169" s="49" t="s">
        <v>724</v>
      </c>
      <c r="F169" s="19" t="s">
        <v>434</v>
      </c>
      <c r="G169" s="19" t="s">
        <v>74</v>
      </c>
      <c r="H169" s="27" t="s">
        <v>253</v>
      </c>
      <c r="I169" s="19" t="s">
        <v>76</v>
      </c>
      <c r="J169" s="17" t="s">
        <v>62</v>
      </c>
      <c r="K169" s="19" t="s">
        <v>120</v>
      </c>
      <c r="L169" s="17" t="s">
        <v>78</v>
      </c>
      <c r="M169" s="17" t="s">
        <v>60</v>
      </c>
      <c r="N169" s="17"/>
      <c r="O169" s="17"/>
      <c r="P169" s="17"/>
      <c r="Q169" s="20"/>
      <c r="R169" s="21"/>
      <c r="S169" s="20"/>
      <c r="T169" s="17">
        <v>30010866</v>
      </c>
      <c r="U169" s="17" t="s">
        <v>265</v>
      </c>
      <c r="V169" s="17" t="s">
        <v>266</v>
      </c>
      <c r="W169" s="17" t="s">
        <v>267</v>
      </c>
      <c r="X169" s="17"/>
      <c r="Y169" s="81"/>
      <c r="Z169" s="17"/>
      <c r="AA169" s="17"/>
      <c r="AB169" s="17"/>
      <c r="AC169" s="17"/>
      <c r="AD169" s="17"/>
      <c r="AE169" s="17"/>
      <c r="AF169" s="17"/>
      <c r="AG169" s="17"/>
      <c r="AH169" s="17"/>
      <c r="AI169" s="18"/>
      <c r="AJ169" s="17"/>
      <c r="AK169" s="17"/>
      <c r="AL169" s="17"/>
      <c r="AM169" s="17"/>
      <c r="AN169" s="17"/>
      <c r="AO169" s="17"/>
      <c r="AP169" s="17"/>
      <c r="AQ169" s="18" t="s">
        <v>1270</v>
      </c>
      <c r="AR169" s="18"/>
      <c r="AS169" s="17"/>
      <c r="AT169" s="17"/>
      <c r="AU169" s="17"/>
      <c r="AV169" s="17"/>
      <c r="AW169" s="18"/>
      <c r="AX169" s="17"/>
      <c r="AY169" s="17"/>
      <c r="AZ169" s="17"/>
      <c r="BA169" s="17"/>
      <c r="BB169" s="17"/>
      <c r="BC169" s="18"/>
      <c r="BD169" s="18"/>
      <c r="BE169" s="18"/>
      <c r="BF169" s="18"/>
    </row>
    <row r="170" spans="1:58" s="26" customFormat="1" ht="17.850000000000001" customHeight="1">
      <c r="A170" s="17" t="s">
        <v>95</v>
      </c>
      <c r="B170" s="17">
        <v>30110521</v>
      </c>
      <c r="C170" s="18" t="s">
        <v>618</v>
      </c>
      <c r="D170" s="17" t="s">
        <v>507</v>
      </c>
      <c r="E170" s="17" t="s">
        <v>107</v>
      </c>
      <c r="F170" s="19" t="s">
        <v>106</v>
      </c>
      <c r="G170" s="19" t="s">
        <v>105</v>
      </c>
      <c r="H170" s="17" t="s">
        <v>619</v>
      </c>
      <c r="I170" s="19" t="s">
        <v>76</v>
      </c>
      <c r="J170" s="17" t="s">
        <v>62</v>
      </c>
      <c r="K170" s="19" t="s">
        <v>63</v>
      </c>
      <c r="L170" s="17" t="s">
        <v>78</v>
      </c>
      <c r="M170" s="17" t="s">
        <v>619</v>
      </c>
      <c r="N170" s="17" t="s">
        <v>65</v>
      </c>
      <c r="O170" s="17">
        <v>1012</v>
      </c>
      <c r="P170" s="17" t="s">
        <v>104</v>
      </c>
      <c r="Q170" s="20"/>
      <c r="R170" s="21"/>
      <c r="S170" s="20"/>
      <c r="T170" s="17">
        <v>30082157</v>
      </c>
      <c r="U170" s="17" t="s">
        <v>105</v>
      </c>
      <c r="V170" s="17" t="s">
        <v>171</v>
      </c>
      <c r="W170" s="17" t="s">
        <v>172</v>
      </c>
      <c r="X170" s="22" t="s">
        <v>620</v>
      </c>
      <c r="Y170" s="59" t="s">
        <v>0</v>
      </c>
      <c r="Z170" s="22" t="s">
        <v>0</v>
      </c>
      <c r="AA170" s="22" t="s">
        <v>0</v>
      </c>
      <c r="AB170" s="22" t="s">
        <v>0</v>
      </c>
      <c r="AC170" s="22" t="s">
        <v>0</v>
      </c>
      <c r="AD170" s="22" t="s">
        <v>0</v>
      </c>
      <c r="AE170" s="17" t="s">
        <v>0</v>
      </c>
      <c r="AF170" s="17" t="s">
        <v>0</v>
      </c>
      <c r="AG170" s="17" t="s">
        <v>0</v>
      </c>
      <c r="AH170" s="17" t="s">
        <v>0</v>
      </c>
      <c r="AI170" s="17" t="s">
        <v>0</v>
      </c>
      <c r="AJ170" s="22">
        <v>1.5</v>
      </c>
      <c r="AK170" s="36">
        <v>0.83</v>
      </c>
      <c r="AL170" s="22">
        <v>1.56</v>
      </c>
      <c r="AM170" s="43">
        <f>0.125+0.25</f>
        <v>0.375</v>
      </c>
      <c r="AN170" s="22">
        <v>2.5011999999999999</v>
      </c>
      <c r="AO170" s="17" t="s">
        <v>0</v>
      </c>
      <c r="AP170" s="17" t="s">
        <v>0</v>
      </c>
      <c r="AQ170" s="27" t="s">
        <v>1273</v>
      </c>
      <c r="AR170" s="18" t="s">
        <v>200</v>
      </c>
      <c r="AS170" s="17" t="s">
        <v>0</v>
      </c>
      <c r="AT170" s="17" t="s">
        <v>0</v>
      </c>
      <c r="AU170" s="17" t="s">
        <v>0</v>
      </c>
      <c r="AV170" s="17" t="s">
        <v>0</v>
      </c>
      <c r="AW170" s="18">
        <v>3</v>
      </c>
      <c r="AX170" s="17">
        <v>24</v>
      </c>
      <c r="AY170" s="17" t="s">
        <v>0</v>
      </c>
      <c r="AZ170" s="17">
        <v>9</v>
      </c>
      <c r="BA170" s="17">
        <v>9</v>
      </c>
      <c r="BB170" s="17" t="s">
        <v>0</v>
      </c>
      <c r="BC170" s="18" t="s">
        <v>0</v>
      </c>
      <c r="BD170" s="18" t="s">
        <v>0</v>
      </c>
      <c r="BE170" s="18" t="s">
        <v>0</v>
      </c>
      <c r="BF170" s="18" t="s">
        <v>0</v>
      </c>
    </row>
    <row r="171" spans="1:58" s="68" customFormat="1" ht="17.850000000000001" customHeight="1">
      <c r="A171" s="17" t="s">
        <v>54</v>
      </c>
      <c r="B171" s="17">
        <v>30104891</v>
      </c>
      <c r="C171" s="18" t="s">
        <v>55</v>
      </c>
      <c r="D171" s="17" t="s">
        <v>56</v>
      </c>
      <c r="E171" s="17" t="s">
        <v>57</v>
      </c>
      <c r="F171" s="19" t="s">
        <v>58</v>
      </c>
      <c r="G171" s="19" t="s">
        <v>59</v>
      </c>
      <c r="H171" s="17" t="s">
        <v>60</v>
      </c>
      <c r="I171" s="19" t="s">
        <v>61</v>
      </c>
      <c r="J171" s="17" t="s">
        <v>62</v>
      </c>
      <c r="K171" s="19" t="s">
        <v>63</v>
      </c>
      <c r="L171" s="17" t="s">
        <v>64</v>
      </c>
      <c r="M171" s="17" t="s">
        <v>60</v>
      </c>
      <c r="N171" s="17" t="s">
        <v>65</v>
      </c>
      <c r="O171" s="17" t="s">
        <v>0</v>
      </c>
      <c r="P171" s="17" t="s">
        <v>0</v>
      </c>
      <c r="Q171" s="20">
        <f>'[1]FEBE Academics 2024'!R166</f>
        <v>33765</v>
      </c>
      <c r="R171" s="21">
        <f ca="1">YEARFRAC(Q171,TODAY())</f>
        <v>34.152777777777779</v>
      </c>
      <c r="S171" s="20">
        <f>EDATE(Q171,12*65)</f>
        <v>57506</v>
      </c>
      <c r="T171" s="17">
        <v>30007204</v>
      </c>
      <c r="U171" s="17" t="s">
        <v>59</v>
      </c>
      <c r="V171" s="17" t="s">
        <v>66</v>
      </c>
      <c r="W171" s="17" t="s">
        <v>67</v>
      </c>
      <c r="X171" s="22" t="s">
        <v>68</v>
      </c>
      <c r="Y171" s="23">
        <v>46009</v>
      </c>
      <c r="Z171" s="22" t="s">
        <v>0</v>
      </c>
      <c r="AA171" s="22" t="s">
        <v>0</v>
      </c>
      <c r="AB171" s="22" t="s">
        <v>0</v>
      </c>
      <c r="AC171" s="22" t="s">
        <v>0</v>
      </c>
      <c r="AD171" s="22" t="s">
        <v>0</v>
      </c>
      <c r="AE171" s="17" t="s">
        <v>0</v>
      </c>
      <c r="AF171" s="17" t="s">
        <v>0</v>
      </c>
      <c r="AG171" s="17" t="s">
        <v>0</v>
      </c>
      <c r="AH171" s="17" t="s">
        <v>0</v>
      </c>
      <c r="AI171" s="17" t="s">
        <v>0</v>
      </c>
      <c r="AJ171" s="22">
        <v>0.5</v>
      </c>
      <c r="AK171" s="22">
        <v>0</v>
      </c>
      <c r="AL171" s="22">
        <v>0</v>
      </c>
      <c r="AM171" s="24">
        <v>0</v>
      </c>
      <c r="AN171" s="25"/>
      <c r="AO171" s="17" t="s">
        <v>0</v>
      </c>
      <c r="AP171" s="17" t="s">
        <v>0</v>
      </c>
      <c r="AQ171" s="18" t="s">
        <v>1270</v>
      </c>
      <c r="AR171" s="18"/>
      <c r="AS171" s="17" t="s">
        <v>0</v>
      </c>
      <c r="AT171" s="17" t="s">
        <v>0</v>
      </c>
      <c r="AU171" s="17" t="s">
        <v>0</v>
      </c>
      <c r="AV171" s="17" t="s">
        <v>0</v>
      </c>
      <c r="AW171" s="18" t="s">
        <v>0</v>
      </c>
      <c r="AX171" s="17">
        <v>0</v>
      </c>
      <c r="AY171" s="17" t="s">
        <v>0</v>
      </c>
      <c r="AZ171" s="17" t="s">
        <v>0</v>
      </c>
      <c r="BA171" s="17">
        <v>0</v>
      </c>
      <c r="BB171" s="17" t="s">
        <v>0</v>
      </c>
      <c r="BC171" s="18" t="s">
        <v>0</v>
      </c>
      <c r="BD171" s="18" t="s">
        <v>0</v>
      </c>
      <c r="BE171" s="18" t="s">
        <v>0</v>
      </c>
      <c r="BF171" s="18" t="s">
        <v>0</v>
      </c>
    </row>
    <row r="172" spans="1:58" s="68" customFormat="1" ht="17.850000000000001" customHeight="1">
      <c r="A172" s="17" t="s">
        <v>125</v>
      </c>
      <c r="B172" s="17">
        <v>30080459</v>
      </c>
      <c r="C172" s="17" t="s">
        <v>1150</v>
      </c>
      <c r="D172" s="17" t="s">
        <v>1151</v>
      </c>
      <c r="E172" s="17" t="s">
        <v>1152</v>
      </c>
      <c r="F172" s="19" t="s">
        <v>1153</v>
      </c>
      <c r="G172" s="19" t="s">
        <v>304</v>
      </c>
      <c r="H172" s="17" t="s">
        <v>513</v>
      </c>
      <c r="I172" s="19" t="s">
        <v>76</v>
      </c>
      <c r="J172" s="17" t="s">
        <v>62</v>
      </c>
      <c r="K172" s="19" t="s">
        <v>63</v>
      </c>
      <c r="L172" s="17" t="s">
        <v>64</v>
      </c>
      <c r="M172" s="17" t="s">
        <v>513</v>
      </c>
      <c r="N172" s="17" t="s">
        <v>129</v>
      </c>
      <c r="O172" s="17">
        <v>2020</v>
      </c>
      <c r="P172" s="17" t="s">
        <v>876</v>
      </c>
      <c r="Q172" s="20">
        <f>'[1]FEBE Academics 2024'!R167</f>
        <v>26582</v>
      </c>
      <c r="R172" s="21">
        <f ca="1">YEARFRAC(Q172,TODAY())</f>
        <v>53.819444444444443</v>
      </c>
      <c r="S172" s="20">
        <f>EDATE(Q172,12*65)</f>
        <v>50323</v>
      </c>
      <c r="T172" s="17">
        <v>30101611</v>
      </c>
      <c r="U172" s="17" t="s">
        <v>105</v>
      </c>
      <c r="V172" s="17" t="s">
        <v>76</v>
      </c>
      <c r="W172" s="17" t="s">
        <v>131</v>
      </c>
      <c r="X172" s="22" t="s">
        <v>108</v>
      </c>
      <c r="Y172" s="23">
        <v>45816</v>
      </c>
      <c r="Z172" s="34" t="s">
        <v>133</v>
      </c>
      <c r="AA172" s="34" t="s">
        <v>133</v>
      </c>
      <c r="AB172" s="34" t="s">
        <v>133</v>
      </c>
      <c r="AC172" s="34" t="s">
        <v>133</v>
      </c>
      <c r="AD172" s="34" t="s">
        <v>133</v>
      </c>
      <c r="AE172" s="34" t="s">
        <v>133</v>
      </c>
      <c r="AF172" s="18" t="s">
        <v>0</v>
      </c>
      <c r="AG172" s="18" t="s">
        <v>0</v>
      </c>
      <c r="AH172" s="17" t="s">
        <v>0</v>
      </c>
      <c r="AI172" s="17" t="s">
        <v>0</v>
      </c>
      <c r="AJ172" s="22">
        <v>2</v>
      </c>
      <c r="AK172" s="36">
        <v>0.57999999999999996</v>
      </c>
      <c r="AL172" s="22">
        <v>1.1399999999999999</v>
      </c>
      <c r="AM172" s="39">
        <f>0.2+0.333</f>
        <v>0.53300000000000003</v>
      </c>
      <c r="AN172" s="17">
        <v>2.5177999999999998</v>
      </c>
      <c r="AO172" s="17" t="s">
        <v>208</v>
      </c>
      <c r="AP172" s="17" t="s">
        <v>0</v>
      </c>
      <c r="AQ172" s="27" t="s">
        <v>1273</v>
      </c>
      <c r="AR172" s="18" t="s">
        <v>200</v>
      </c>
      <c r="AS172" s="18">
        <v>2023</v>
      </c>
      <c r="AT172" s="18">
        <v>2027</v>
      </c>
      <c r="AU172" s="76">
        <v>45987</v>
      </c>
      <c r="AV172" s="18">
        <v>3750</v>
      </c>
      <c r="AW172" s="18">
        <v>34</v>
      </c>
      <c r="AX172" s="17">
        <v>21</v>
      </c>
      <c r="AY172" s="17">
        <v>30</v>
      </c>
      <c r="AZ172" s="17">
        <v>36</v>
      </c>
      <c r="BA172" s="67">
        <v>27</v>
      </c>
      <c r="BB172" s="18" t="s">
        <v>1154</v>
      </c>
      <c r="BC172" s="18" t="s">
        <v>0</v>
      </c>
      <c r="BD172" s="18" t="s">
        <v>0</v>
      </c>
      <c r="BE172" s="18" t="s">
        <v>0</v>
      </c>
      <c r="BF172" s="18" t="s">
        <v>0</v>
      </c>
    </row>
    <row r="173" spans="1:58" s="68" customFormat="1" ht="17.850000000000001" customHeight="1">
      <c r="A173" s="17" t="s">
        <v>95</v>
      </c>
      <c r="B173" s="17">
        <v>30012495</v>
      </c>
      <c r="C173" s="18" t="s">
        <v>510</v>
      </c>
      <c r="D173" s="17" t="s">
        <v>511</v>
      </c>
      <c r="E173" s="17" t="s">
        <v>512</v>
      </c>
      <c r="F173" s="19" t="s">
        <v>492</v>
      </c>
      <c r="G173" s="19" t="s">
        <v>304</v>
      </c>
      <c r="H173" s="17" t="s">
        <v>513</v>
      </c>
      <c r="I173" s="19" t="s">
        <v>76</v>
      </c>
      <c r="J173" s="17" t="s">
        <v>101</v>
      </c>
      <c r="K173" s="19" t="s">
        <v>63</v>
      </c>
      <c r="L173" s="17" t="s">
        <v>78</v>
      </c>
      <c r="M173" s="17" t="s">
        <v>513</v>
      </c>
      <c r="N173" s="17" t="s">
        <v>65</v>
      </c>
      <c r="O173" s="17">
        <v>1010</v>
      </c>
      <c r="P173" s="17" t="s">
        <v>514</v>
      </c>
      <c r="Q173" s="20">
        <f>'[1]FEBE Academics 2024'!R168</f>
        <v>24500</v>
      </c>
      <c r="R173" s="21">
        <f ca="1">YEARFRAC(Q173,TODAY())</f>
        <v>59.519444444444446</v>
      </c>
      <c r="S173" s="20">
        <f>EDATE(Q173,12*65)</f>
        <v>48241</v>
      </c>
      <c r="T173" s="17">
        <v>30110521</v>
      </c>
      <c r="U173" s="17" t="s">
        <v>105</v>
      </c>
      <c r="V173" s="17" t="s">
        <v>106</v>
      </c>
      <c r="W173" s="17" t="s">
        <v>107</v>
      </c>
      <c r="X173" s="22" t="s">
        <v>515</v>
      </c>
      <c r="Y173" s="23">
        <v>36557</v>
      </c>
      <c r="Z173" s="34" t="s">
        <v>0</v>
      </c>
      <c r="AA173" s="34" t="s">
        <v>0</v>
      </c>
      <c r="AB173" s="34" t="s">
        <v>0</v>
      </c>
      <c r="AC173" s="34" t="s">
        <v>0</v>
      </c>
      <c r="AD173" s="34" t="s">
        <v>0</v>
      </c>
      <c r="AE173" s="18" t="s">
        <v>0</v>
      </c>
      <c r="AF173" s="18" t="s">
        <v>0</v>
      </c>
      <c r="AG173" s="18" t="s">
        <v>0</v>
      </c>
      <c r="AH173" s="17" t="s">
        <v>0</v>
      </c>
      <c r="AI173" s="17" t="s">
        <v>0</v>
      </c>
      <c r="AJ173" s="22">
        <v>2</v>
      </c>
      <c r="AK173" s="22">
        <v>0</v>
      </c>
      <c r="AL173" s="22">
        <v>0</v>
      </c>
      <c r="AM173" s="43">
        <v>0.33329999999999999</v>
      </c>
      <c r="AN173" s="22">
        <v>0.33329999999999999</v>
      </c>
      <c r="AO173" s="17" t="s">
        <v>0</v>
      </c>
      <c r="AP173" s="17" t="s">
        <v>0</v>
      </c>
      <c r="AQ173" s="205" t="s">
        <v>1270</v>
      </c>
      <c r="AR173" s="18" t="s">
        <v>1270</v>
      </c>
      <c r="AS173" s="18" t="s">
        <v>0</v>
      </c>
      <c r="AT173" s="18" t="s">
        <v>0</v>
      </c>
      <c r="AU173" s="18" t="s">
        <v>0</v>
      </c>
      <c r="AV173" s="18" t="s">
        <v>0</v>
      </c>
      <c r="AW173" s="18" t="s">
        <v>0</v>
      </c>
      <c r="AX173" s="17">
        <v>0</v>
      </c>
      <c r="AY173" s="17" t="s">
        <v>0</v>
      </c>
      <c r="AZ173" s="17" t="s">
        <v>0</v>
      </c>
      <c r="BA173" s="17">
        <v>0</v>
      </c>
      <c r="BB173" s="18" t="s">
        <v>516</v>
      </c>
      <c r="BC173" s="18" t="s">
        <v>0</v>
      </c>
      <c r="BD173" s="18">
        <v>1</v>
      </c>
      <c r="BE173" s="18" t="s">
        <v>0</v>
      </c>
      <c r="BF173" s="18" t="s">
        <v>0</v>
      </c>
    </row>
    <row r="174" spans="1:58" s="68" customFormat="1" ht="17.850000000000001" customHeight="1">
      <c r="A174" s="17" t="s">
        <v>54</v>
      </c>
      <c r="B174" s="17">
        <v>30085495</v>
      </c>
      <c r="C174" s="17" t="s">
        <v>1230</v>
      </c>
      <c r="D174" s="17" t="s">
        <v>1231</v>
      </c>
      <c r="E174" s="17" t="s">
        <v>1232</v>
      </c>
      <c r="F174" s="19" t="s">
        <v>1233</v>
      </c>
      <c r="G174" s="19" t="s">
        <v>80</v>
      </c>
      <c r="H174" s="17" t="s">
        <v>102</v>
      </c>
      <c r="I174" s="19" t="s">
        <v>76</v>
      </c>
      <c r="J174" s="17" t="s">
        <v>62</v>
      </c>
      <c r="K174" s="19" t="s">
        <v>63</v>
      </c>
      <c r="L174" s="17" t="s">
        <v>78</v>
      </c>
      <c r="M174" s="17" t="s">
        <v>102</v>
      </c>
      <c r="N174" s="17" t="s">
        <v>1234</v>
      </c>
      <c r="O174" s="17">
        <v>595</v>
      </c>
      <c r="P174" s="17" t="s">
        <v>804</v>
      </c>
      <c r="Q174" s="20">
        <f>'[1]FEBE Academics 2024'!R170</f>
        <v>25107</v>
      </c>
      <c r="R174" s="21">
        <f ca="1">YEARFRAC(Q174,TODAY())</f>
        <v>57.858333333333334</v>
      </c>
      <c r="S174" s="20">
        <f>EDATE(Q174,12*65)</f>
        <v>48848</v>
      </c>
      <c r="T174" s="17">
        <v>30007204</v>
      </c>
      <c r="U174" s="17" t="s">
        <v>59</v>
      </c>
      <c r="V174" s="17" t="s">
        <v>66</v>
      </c>
      <c r="W174" s="17" t="s">
        <v>67</v>
      </c>
      <c r="X174" s="22" t="s">
        <v>108</v>
      </c>
      <c r="Y174" s="23">
        <v>45786</v>
      </c>
      <c r="Z174" s="22" t="s">
        <v>0</v>
      </c>
      <c r="AA174" s="22" t="s">
        <v>0</v>
      </c>
      <c r="AB174" s="22" t="s">
        <v>0</v>
      </c>
      <c r="AC174" s="22" t="s">
        <v>0</v>
      </c>
      <c r="AD174" s="22" t="s">
        <v>0</v>
      </c>
      <c r="AE174" s="17" t="s">
        <v>0</v>
      </c>
      <c r="AF174" s="17" t="s">
        <v>0</v>
      </c>
      <c r="AG174" s="17" t="s">
        <v>0</v>
      </c>
      <c r="AH174" s="17" t="s">
        <v>0</v>
      </c>
      <c r="AI174" s="17" t="s">
        <v>0</v>
      </c>
      <c r="AJ174" s="22">
        <v>1</v>
      </c>
      <c r="AK174" s="22">
        <v>0</v>
      </c>
      <c r="AL174" s="22">
        <v>0</v>
      </c>
      <c r="AM174" s="24">
        <v>0</v>
      </c>
      <c r="AN174" s="25"/>
      <c r="AO174" s="17" t="s">
        <v>0</v>
      </c>
      <c r="AP174" s="17" t="s">
        <v>0</v>
      </c>
      <c r="AQ174" s="205" t="s">
        <v>1270</v>
      </c>
      <c r="AR174" s="18"/>
      <c r="AS174" s="17" t="s">
        <v>0</v>
      </c>
      <c r="AT174" s="17" t="s">
        <v>0</v>
      </c>
      <c r="AU174" s="17" t="s">
        <v>0</v>
      </c>
      <c r="AV174" s="17" t="s">
        <v>0</v>
      </c>
      <c r="AW174" s="18">
        <v>0</v>
      </c>
      <c r="AX174" s="17">
        <v>0</v>
      </c>
      <c r="AY174" s="17" t="s">
        <v>0</v>
      </c>
      <c r="AZ174" s="17">
        <v>2</v>
      </c>
      <c r="BA174" s="17">
        <v>2</v>
      </c>
      <c r="BB174" s="17" t="s">
        <v>0</v>
      </c>
      <c r="BC174" s="18" t="s">
        <v>0</v>
      </c>
      <c r="BD174" s="18" t="s">
        <v>0</v>
      </c>
      <c r="BE174" s="18" t="s">
        <v>0</v>
      </c>
      <c r="BF174" s="18" t="s">
        <v>0</v>
      </c>
    </row>
    <row r="175" spans="1:58" s="26" customFormat="1" ht="17.850000000000001" customHeight="1">
      <c r="A175" s="17" t="s">
        <v>125</v>
      </c>
      <c r="B175" s="17">
        <v>30100641</v>
      </c>
      <c r="C175" s="17" t="s">
        <v>742</v>
      </c>
      <c r="D175" s="17" t="s">
        <v>743</v>
      </c>
      <c r="E175" s="17" t="s">
        <v>744</v>
      </c>
      <c r="F175" s="19" t="s">
        <v>76</v>
      </c>
      <c r="G175" s="19" t="s">
        <v>74</v>
      </c>
      <c r="H175" s="17" t="s">
        <v>60</v>
      </c>
      <c r="I175" s="19" t="s">
        <v>76</v>
      </c>
      <c r="J175" s="17" t="s">
        <v>101</v>
      </c>
      <c r="K175" s="19" t="s">
        <v>63</v>
      </c>
      <c r="L175" s="17" t="s">
        <v>78</v>
      </c>
      <c r="M175" s="17" t="s">
        <v>112</v>
      </c>
      <c r="N175" s="17" t="s">
        <v>65</v>
      </c>
      <c r="O175" s="17" t="s">
        <v>0</v>
      </c>
      <c r="P175" s="17" t="s">
        <v>0</v>
      </c>
      <c r="Q175" s="20">
        <f>'[1]FEBE Academics 2024'!R171</f>
        <v>34855</v>
      </c>
      <c r="R175" s="21">
        <f ca="1">YEARFRAC(Q175,TODAY())</f>
        <v>31.166666666666668</v>
      </c>
      <c r="S175" s="20">
        <f>EDATE(Q175,12*65)</f>
        <v>58597</v>
      </c>
      <c r="T175" s="17">
        <v>30101611</v>
      </c>
      <c r="U175" s="17" t="s">
        <v>105</v>
      </c>
      <c r="V175" s="17" t="s">
        <v>76</v>
      </c>
      <c r="W175" s="17" t="s">
        <v>131</v>
      </c>
      <c r="X175" s="22" t="s">
        <v>745</v>
      </c>
      <c r="Y175" s="23">
        <v>45737</v>
      </c>
      <c r="Z175" s="22" t="s">
        <v>746</v>
      </c>
      <c r="AA175" s="22">
        <v>2022</v>
      </c>
      <c r="AB175" s="22">
        <v>2023</v>
      </c>
      <c r="AC175" s="22">
        <v>2026</v>
      </c>
      <c r="AD175" s="22" t="s">
        <v>238</v>
      </c>
      <c r="AE175" s="17" t="s">
        <v>0</v>
      </c>
      <c r="AF175" s="17" t="s">
        <v>0</v>
      </c>
      <c r="AG175" s="17" t="s">
        <v>0</v>
      </c>
      <c r="AH175" s="17" t="s">
        <v>0</v>
      </c>
      <c r="AI175" s="17" t="s">
        <v>0</v>
      </c>
      <c r="AJ175" s="22">
        <v>0.5</v>
      </c>
      <c r="AK175" s="22">
        <v>0</v>
      </c>
      <c r="AL175" s="22">
        <v>0</v>
      </c>
      <c r="AM175" s="25">
        <v>0</v>
      </c>
      <c r="AN175" s="25"/>
      <c r="AO175" s="17" t="s">
        <v>0</v>
      </c>
      <c r="AP175" s="17" t="s">
        <v>0</v>
      </c>
      <c r="AQ175" s="205" t="s">
        <v>1270</v>
      </c>
      <c r="AR175" s="18"/>
      <c r="AS175" s="17" t="s">
        <v>0</v>
      </c>
      <c r="AT175" s="17" t="s">
        <v>0</v>
      </c>
      <c r="AU175" s="17" t="s">
        <v>0</v>
      </c>
      <c r="AV175" s="17" t="s">
        <v>0</v>
      </c>
      <c r="AW175" s="18">
        <v>0</v>
      </c>
      <c r="AX175" s="17">
        <v>0</v>
      </c>
      <c r="AY175" s="17" t="s">
        <v>0</v>
      </c>
      <c r="AZ175" s="17">
        <v>0</v>
      </c>
      <c r="BA175" s="17">
        <v>0</v>
      </c>
      <c r="BB175" s="17" t="s">
        <v>0</v>
      </c>
      <c r="BC175" s="18">
        <v>6</v>
      </c>
      <c r="BD175" s="18" t="s">
        <v>0</v>
      </c>
      <c r="BE175" s="18" t="s">
        <v>0</v>
      </c>
      <c r="BF175" s="18" t="s">
        <v>0</v>
      </c>
    </row>
    <row r="176" spans="1:58" s="68" customFormat="1" ht="17.850000000000001" customHeight="1">
      <c r="A176" s="17" t="s">
        <v>69</v>
      </c>
      <c r="B176" s="17">
        <v>30092589</v>
      </c>
      <c r="C176" s="17" t="s">
        <v>815</v>
      </c>
      <c r="D176" s="17" t="s">
        <v>816</v>
      </c>
      <c r="E176" s="17" t="s">
        <v>817</v>
      </c>
      <c r="F176" s="19" t="s">
        <v>76</v>
      </c>
      <c r="G176" s="19" t="s">
        <v>59</v>
      </c>
      <c r="H176" s="17" t="s">
        <v>60</v>
      </c>
      <c r="I176" s="19" t="s">
        <v>61</v>
      </c>
      <c r="J176" s="17" t="s">
        <v>197</v>
      </c>
      <c r="K176" s="19" t="s">
        <v>120</v>
      </c>
      <c r="L176" s="17" t="s">
        <v>78</v>
      </c>
      <c r="M176" s="17" t="s">
        <v>60</v>
      </c>
      <c r="N176" s="17" t="s">
        <v>65</v>
      </c>
      <c r="O176" s="17" t="s">
        <v>0</v>
      </c>
      <c r="P176" s="17" t="s">
        <v>0</v>
      </c>
      <c r="Q176" s="37">
        <f>'[1]FEBE Academics 2024'!R172</f>
        <v>32914</v>
      </c>
      <c r="R176" s="38">
        <f ca="1">YEARFRAC(Q176,TODAY())</f>
        <v>36.486111111111114</v>
      </c>
      <c r="S176" s="37">
        <f>EDATE(Q176,12*65)</f>
        <v>56655</v>
      </c>
      <c r="T176" s="17">
        <v>30000294</v>
      </c>
      <c r="U176" s="17" t="s">
        <v>80</v>
      </c>
      <c r="V176" s="17" t="s">
        <v>81</v>
      </c>
      <c r="W176" s="17" t="s">
        <v>82</v>
      </c>
      <c r="X176" s="22" t="s">
        <v>92</v>
      </c>
      <c r="Y176" s="23">
        <v>45734</v>
      </c>
      <c r="Z176" s="22" t="s">
        <v>0</v>
      </c>
      <c r="AA176" s="22" t="s">
        <v>0</v>
      </c>
      <c r="AB176" s="22" t="s">
        <v>0</v>
      </c>
      <c r="AC176" s="22" t="s">
        <v>0</v>
      </c>
      <c r="AD176" s="22" t="s">
        <v>0</v>
      </c>
      <c r="AE176" s="17" t="s">
        <v>0</v>
      </c>
      <c r="AF176" s="17" t="s">
        <v>0</v>
      </c>
      <c r="AG176" s="17" t="s">
        <v>0</v>
      </c>
      <c r="AH176" s="17" t="s">
        <v>0</v>
      </c>
      <c r="AI176" s="17" t="s">
        <v>0</v>
      </c>
      <c r="AJ176" s="22">
        <v>0.5</v>
      </c>
      <c r="AK176" s="22">
        <v>0</v>
      </c>
      <c r="AL176" s="22">
        <v>0</v>
      </c>
      <c r="AM176" s="17">
        <v>0</v>
      </c>
      <c r="AN176" s="17"/>
      <c r="AO176" s="17" t="s">
        <v>0</v>
      </c>
      <c r="AP176" s="17" t="s">
        <v>0</v>
      </c>
      <c r="AQ176" s="18" t="s">
        <v>1270</v>
      </c>
      <c r="AR176" s="18"/>
      <c r="AS176" s="17" t="s">
        <v>0</v>
      </c>
      <c r="AT176" s="17" t="s">
        <v>0</v>
      </c>
      <c r="AU176" s="17" t="s">
        <v>0</v>
      </c>
      <c r="AV176" s="17" t="s">
        <v>0</v>
      </c>
      <c r="AW176" s="39">
        <v>0</v>
      </c>
      <c r="AX176" s="17">
        <v>0</v>
      </c>
      <c r="AY176" s="17" t="s">
        <v>0</v>
      </c>
      <c r="AZ176" s="17">
        <v>0</v>
      </c>
      <c r="BA176" s="17">
        <v>0</v>
      </c>
      <c r="BB176" s="17" t="s">
        <v>0</v>
      </c>
      <c r="BC176" s="17" t="s">
        <v>0</v>
      </c>
      <c r="BD176" s="17" t="s">
        <v>0</v>
      </c>
      <c r="BE176" s="17" t="s">
        <v>0</v>
      </c>
      <c r="BF176" s="17" t="s">
        <v>0</v>
      </c>
    </row>
    <row r="177" spans="1:58" s="68" customFormat="1" ht="17.850000000000001" customHeight="1">
      <c r="A177" s="17" t="s">
        <v>115</v>
      </c>
      <c r="B177" s="17">
        <v>30097176</v>
      </c>
      <c r="C177" s="17" t="s">
        <v>1113</v>
      </c>
      <c r="D177" s="17" t="s">
        <v>1114</v>
      </c>
      <c r="E177" s="17" t="s">
        <v>123</v>
      </c>
      <c r="F177" s="19" t="s">
        <v>171</v>
      </c>
      <c r="G177" s="19" t="s">
        <v>105</v>
      </c>
      <c r="H177" s="17" t="s">
        <v>317</v>
      </c>
      <c r="I177" s="19" t="s">
        <v>61</v>
      </c>
      <c r="J177" s="17" t="s">
        <v>197</v>
      </c>
      <c r="K177" s="19" t="s">
        <v>63</v>
      </c>
      <c r="L177" s="17" t="s">
        <v>78</v>
      </c>
      <c r="M177" s="17" t="s">
        <v>317</v>
      </c>
      <c r="N177" s="17" t="s">
        <v>198</v>
      </c>
      <c r="O177" s="17">
        <v>581</v>
      </c>
      <c r="P177" s="17" t="s">
        <v>199</v>
      </c>
      <c r="Q177" s="20">
        <f>'[1]FEBE Academics 2024'!R174</f>
        <v>27946</v>
      </c>
      <c r="R177" s="21">
        <f ca="1">YEARFRAC(Q177,TODAY())</f>
        <v>50.083333333333336</v>
      </c>
      <c r="S177" s="20">
        <f>EDATE(Q177,12*65)</f>
        <v>51687</v>
      </c>
      <c r="T177" s="17">
        <v>30006433</v>
      </c>
      <c r="U177" s="17" t="s">
        <v>74</v>
      </c>
      <c r="V177" s="17" t="s">
        <v>171</v>
      </c>
      <c r="W177" s="17" t="s">
        <v>976</v>
      </c>
      <c r="X177" s="22" t="s">
        <v>142</v>
      </c>
      <c r="Y177" s="23">
        <v>45876</v>
      </c>
      <c r="Z177" s="34" t="s">
        <v>0</v>
      </c>
      <c r="AA177" s="34" t="s">
        <v>0</v>
      </c>
      <c r="AB177" s="34" t="s">
        <v>0</v>
      </c>
      <c r="AC177" s="34" t="s">
        <v>0</v>
      </c>
      <c r="AD177" s="34" t="s">
        <v>0</v>
      </c>
      <c r="AE177" s="18" t="s">
        <v>0</v>
      </c>
      <c r="AF177" s="18" t="s">
        <v>0</v>
      </c>
      <c r="AG177" s="18" t="s">
        <v>0</v>
      </c>
      <c r="AH177" s="17" t="s">
        <v>0</v>
      </c>
      <c r="AI177" s="17" t="s">
        <v>0</v>
      </c>
      <c r="AJ177" s="22">
        <v>1</v>
      </c>
      <c r="AK177" s="36">
        <v>0.25</v>
      </c>
      <c r="AL177" s="22">
        <v>0.75</v>
      </c>
      <c r="AM177" s="150">
        <f>0.5+0.5+0.25+0.5+0.3333</f>
        <v>2.0832999999999999</v>
      </c>
      <c r="AN177" s="75">
        <v>1.6667000000000001</v>
      </c>
      <c r="AO177" s="151"/>
      <c r="AP177" s="17" t="s">
        <v>0</v>
      </c>
      <c r="AQ177" s="27" t="s">
        <v>1273</v>
      </c>
      <c r="AR177" s="18" t="s">
        <v>752</v>
      </c>
      <c r="AS177" s="18">
        <v>2023</v>
      </c>
      <c r="AT177" s="18">
        <v>2028</v>
      </c>
      <c r="AU177" s="18" t="s">
        <v>0</v>
      </c>
      <c r="AV177" s="18">
        <v>78</v>
      </c>
      <c r="AW177" s="18">
        <v>1</v>
      </c>
      <c r="AX177" s="17">
        <v>2</v>
      </c>
      <c r="AY177" s="17">
        <v>5</v>
      </c>
      <c r="AZ177" s="17">
        <v>6</v>
      </c>
      <c r="BA177" s="17">
        <v>7</v>
      </c>
      <c r="BB177" s="40" t="s">
        <v>1115</v>
      </c>
      <c r="BC177" s="18" t="s">
        <v>0</v>
      </c>
      <c r="BD177" s="18" t="s">
        <v>0</v>
      </c>
      <c r="BE177" s="18" t="s">
        <v>0</v>
      </c>
      <c r="BF177" s="18" t="s">
        <v>0</v>
      </c>
    </row>
    <row r="178" spans="1:58" s="68" customFormat="1" ht="17.850000000000001" customHeight="1">
      <c r="A178" s="27" t="s">
        <v>115</v>
      </c>
      <c r="B178" s="27">
        <v>30097178</v>
      </c>
      <c r="C178" s="27" t="s">
        <v>194</v>
      </c>
      <c r="D178" s="27" t="s">
        <v>195</v>
      </c>
      <c r="E178" s="27" t="s">
        <v>123</v>
      </c>
      <c r="F178" s="29" t="s">
        <v>66</v>
      </c>
      <c r="G178" s="29" t="s">
        <v>105</v>
      </c>
      <c r="H178" s="27" t="s">
        <v>196</v>
      </c>
      <c r="I178" s="29" t="s">
        <v>76</v>
      </c>
      <c r="J178" s="27" t="s">
        <v>197</v>
      </c>
      <c r="K178" s="29" t="s">
        <v>63</v>
      </c>
      <c r="L178" s="27" t="s">
        <v>78</v>
      </c>
      <c r="M178" s="27" t="s">
        <v>196</v>
      </c>
      <c r="N178" s="17" t="s">
        <v>198</v>
      </c>
      <c r="O178" s="17">
        <v>581</v>
      </c>
      <c r="P178" s="17" t="s">
        <v>199</v>
      </c>
      <c r="Q178" s="20">
        <f>'[1]FEBE Academics 2024'!R173</f>
        <v>30578</v>
      </c>
      <c r="R178" s="21">
        <f ca="1">YEARFRAC(Q178,TODAY())</f>
        <v>42.87777777777778</v>
      </c>
      <c r="S178" s="20">
        <f>EDATE(Q178,12*65)</f>
        <v>54320</v>
      </c>
      <c r="T178" s="17">
        <v>30082157</v>
      </c>
      <c r="U178" s="17" t="s">
        <v>105</v>
      </c>
      <c r="V178" s="17" t="s">
        <v>171</v>
      </c>
      <c r="W178" s="17" t="s">
        <v>172</v>
      </c>
      <c r="X178" s="22" t="s">
        <v>142</v>
      </c>
      <c r="Y178" s="23">
        <v>45765</v>
      </c>
      <c r="Z178" s="34" t="s">
        <v>0</v>
      </c>
      <c r="AA178" s="34" t="s">
        <v>0</v>
      </c>
      <c r="AB178" s="34" t="s">
        <v>0</v>
      </c>
      <c r="AC178" s="34" t="s">
        <v>0</v>
      </c>
      <c r="AD178" s="34" t="s">
        <v>0</v>
      </c>
      <c r="AE178" s="18" t="s">
        <v>0</v>
      </c>
      <c r="AF178" s="18" t="s">
        <v>0</v>
      </c>
      <c r="AG178" s="18" t="s">
        <v>0</v>
      </c>
      <c r="AH178" s="17" t="s">
        <v>0</v>
      </c>
      <c r="AI178" s="17" t="s">
        <v>0</v>
      </c>
      <c r="AJ178" s="22">
        <v>1.5</v>
      </c>
      <c r="AK178" s="36">
        <v>0.33</v>
      </c>
      <c r="AL178" s="22">
        <v>1.56</v>
      </c>
      <c r="AM178" s="43">
        <f>0.5+1+1+0.5+0.25</f>
        <v>3.25</v>
      </c>
      <c r="AN178" s="22">
        <v>1.9695999999999998</v>
      </c>
      <c r="AO178" s="17"/>
      <c r="AP178" s="17" t="s">
        <v>0</v>
      </c>
      <c r="AQ178" s="27" t="s">
        <v>1273</v>
      </c>
      <c r="AR178" s="18" t="s">
        <v>200</v>
      </c>
      <c r="AS178" s="18">
        <v>2023</v>
      </c>
      <c r="AT178" s="18">
        <v>2028</v>
      </c>
      <c r="AU178" s="18" t="s">
        <v>0</v>
      </c>
      <c r="AV178" s="18">
        <v>1456</v>
      </c>
      <c r="AW178" s="18">
        <v>0</v>
      </c>
      <c r="AX178" s="17">
        <v>11</v>
      </c>
      <c r="AY178" s="17">
        <v>17</v>
      </c>
      <c r="AZ178" s="17">
        <v>19</v>
      </c>
      <c r="BA178" s="17">
        <v>15</v>
      </c>
      <c r="BB178" s="18" t="s">
        <v>201</v>
      </c>
      <c r="BC178" s="18" t="s">
        <v>0</v>
      </c>
      <c r="BD178" s="18" t="s">
        <v>0</v>
      </c>
      <c r="BE178" s="18" t="s">
        <v>0</v>
      </c>
      <c r="BF178" s="18" t="s">
        <v>0</v>
      </c>
    </row>
    <row r="179" spans="1:58" s="173" customFormat="1" ht="17.850000000000001" customHeight="1">
      <c r="A179" s="17" t="s">
        <v>69</v>
      </c>
      <c r="B179" s="17">
        <v>30012867</v>
      </c>
      <c r="C179" s="17" t="s">
        <v>1021</v>
      </c>
      <c r="D179" s="17" t="s">
        <v>1022</v>
      </c>
      <c r="E179" s="17" t="s">
        <v>1023</v>
      </c>
      <c r="F179" s="19" t="s">
        <v>1014</v>
      </c>
      <c r="G179" s="19" t="s">
        <v>74</v>
      </c>
      <c r="H179" s="17" t="s">
        <v>60</v>
      </c>
      <c r="I179" s="19" t="s">
        <v>76</v>
      </c>
      <c r="J179" s="17" t="s">
        <v>77</v>
      </c>
      <c r="K179" s="19" t="s">
        <v>63</v>
      </c>
      <c r="L179" s="17" t="s">
        <v>64</v>
      </c>
      <c r="M179" s="17" t="s">
        <v>60</v>
      </c>
      <c r="N179" s="17" t="s">
        <v>65</v>
      </c>
      <c r="O179" s="17">
        <v>2010</v>
      </c>
      <c r="P179" s="17" t="s">
        <v>91</v>
      </c>
      <c r="Q179" s="20">
        <f>'[1]FEBE Academics 2024'!R175</f>
        <v>27517</v>
      </c>
      <c r="R179" s="21">
        <f ca="1">YEARFRAC(Q179,TODAY())</f>
        <v>51.255555555555553</v>
      </c>
      <c r="S179" s="20">
        <f>EDATE(Q179,12*65)</f>
        <v>51259</v>
      </c>
      <c r="T179" s="17">
        <v>30000294</v>
      </c>
      <c r="U179" s="17" t="s">
        <v>80</v>
      </c>
      <c r="V179" s="17" t="s">
        <v>81</v>
      </c>
      <c r="W179" s="17" t="s">
        <v>82</v>
      </c>
      <c r="X179" s="22" t="s">
        <v>83</v>
      </c>
      <c r="Y179" s="23">
        <v>45730</v>
      </c>
      <c r="Z179" s="34" t="s">
        <v>1024</v>
      </c>
      <c r="AA179" s="34">
        <v>2016</v>
      </c>
      <c r="AB179" s="34">
        <v>2025</v>
      </c>
      <c r="AC179" s="34" t="s">
        <v>85</v>
      </c>
      <c r="AD179" s="34" t="s">
        <v>1025</v>
      </c>
      <c r="AE179" s="18" t="s">
        <v>0</v>
      </c>
      <c r="AF179" s="18" t="s">
        <v>0</v>
      </c>
      <c r="AG179" s="18" t="s">
        <v>0</v>
      </c>
      <c r="AH179" s="17" t="s">
        <v>0</v>
      </c>
      <c r="AI179" s="17" t="s">
        <v>0</v>
      </c>
      <c r="AJ179" s="22">
        <v>0.5</v>
      </c>
      <c r="AK179" s="22">
        <v>0</v>
      </c>
      <c r="AL179" s="22">
        <v>0</v>
      </c>
      <c r="AM179" s="18">
        <v>0</v>
      </c>
      <c r="AN179" s="17"/>
      <c r="AO179" s="17" t="s">
        <v>0</v>
      </c>
      <c r="AP179" s="17" t="s">
        <v>0</v>
      </c>
      <c r="AQ179" s="197"/>
      <c r="AR179" s="18" t="s">
        <v>1270</v>
      </c>
      <c r="AS179" s="18" t="s">
        <v>0</v>
      </c>
      <c r="AT179" s="18" t="s">
        <v>0</v>
      </c>
      <c r="AU179" s="18" t="s">
        <v>0</v>
      </c>
      <c r="AV179" s="18" t="s">
        <v>0</v>
      </c>
      <c r="AW179" s="18">
        <v>0</v>
      </c>
      <c r="AX179" s="17">
        <v>0</v>
      </c>
      <c r="AY179" s="17" t="s">
        <v>0</v>
      </c>
      <c r="AZ179" s="17">
        <v>0</v>
      </c>
      <c r="BA179" s="17">
        <v>0</v>
      </c>
      <c r="BB179" s="40" t="s">
        <v>1026</v>
      </c>
      <c r="BC179" s="18" t="s">
        <v>0</v>
      </c>
      <c r="BD179" s="18" t="s">
        <v>0</v>
      </c>
      <c r="BE179" s="18" t="s">
        <v>0</v>
      </c>
      <c r="BF179" s="18" t="s">
        <v>0</v>
      </c>
    </row>
    <row r="180" spans="1:58" s="68" customFormat="1" ht="17.850000000000001" customHeight="1">
      <c r="A180" s="17" t="s">
        <v>69</v>
      </c>
      <c r="B180" s="17">
        <v>30106441</v>
      </c>
      <c r="C180" s="17" t="s">
        <v>239</v>
      </c>
      <c r="D180" s="17" t="s">
        <v>240</v>
      </c>
      <c r="E180" s="17" t="s">
        <v>241</v>
      </c>
      <c r="F180" s="19" t="s">
        <v>58</v>
      </c>
      <c r="G180" s="19" t="s">
        <v>80</v>
      </c>
      <c r="H180" s="17" t="s">
        <v>242</v>
      </c>
      <c r="I180" s="19" t="s">
        <v>76</v>
      </c>
      <c r="J180" s="17" t="s">
        <v>62</v>
      </c>
      <c r="K180" s="19" t="s">
        <v>63</v>
      </c>
      <c r="L180" s="17" t="s">
        <v>78</v>
      </c>
      <c r="M180" s="17" t="s">
        <v>112</v>
      </c>
      <c r="N180" s="17" t="s">
        <v>129</v>
      </c>
      <c r="O180" s="17">
        <v>580</v>
      </c>
      <c r="P180" s="17" t="s">
        <v>79</v>
      </c>
      <c r="Q180" s="20">
        <f>'[1]FEBE Academics 2024'!R176</f>
        <v>31195</v>
      </c>
      <c r="R180" s="21">
        <f ca="1">YEARFRAC(Q180,TODAY())</f>
        <v>41.18611111111111</v>
      </c>
      <c r="S180" s="20">
        <f>EDATE(Q180,12*65)</f>
        <v>54936</v>
      </c>
      <c r="T180" s="17">
        <v>30000294</v>
      </c>
      <c r="U180" s="17" t="s">
        <v>80</v>
      </c>
      <c r="V180" s="17" t="s">
        <v>81</v>
      </c>
      <c r="W180" s="17" t="s">
        <v>82</v>
      </c>
      <c r="X180" s="22" t="s">
        <v>142</v>
      </c>
      <c r="Y180" s="23">
        <v>45794</v>
      </c>
      <c r="Z180" s="34" t="s">
        <v>0</v>
      </c>
      <c r="AA180" s="34" t="s">
        <v>0</v>
      </c>
      <c r="AB180" s="34" t="s">
        <v>0</v>
      </c>
      <c r="AC180" s="34" t="s">
        <v>0</v>
      </c>
      <c r="AD180" s="34" t="s">
        <v>0</v>
      </c>
      <c r="AE180" s="18" t="s">
        <v>0</v>
      </c>
      <c r="AF180" s="18" t="s">
        <v>0</v>
      </c>
      <c r="AG180" s="18" t="s">
        <v>0</v>
      </c>
      <c r="AH180" s="17" t="s">
        <v>0</v>
      </c>
      <c r="AI180" s="17" t="s">
        <v>0</v>
      </c>
      <c r="AJ180" s="22">
        <v>1</v>
      </c>
      <c r="AK180" s="22">
        <v>0</v>
      </c>
      <c r="AL180" s="22">
        <v>3.4</v>
      </c>
      <c r="AM180" s="39">
        <f>1+0.3333+1+1+0.3333+0.5+0.3333+0.05+0.25+0.17+0.17+0.17+0.25</f>
        <v>5.5598999999999998</v>
      </c>
      <c r="AN180" s="17">
        <v>2.9169</v>
      </c>
      <c r="AO180" s="17" t="s">
        <v>0</v>
      </c>
      <c r="AP180" s="17" t="s">
        <v>0</v>
      </c>
      <c r="AQ180" s="205" t="s">
        <v>1270</v>
      </c>
      <c r="AR180" s="18" t="s">
        <v>752</v>
      </c>
      <c r="AS180" s="18" t="s">
        <v>0</v>
      </c>
      <c r="AT180" s="18" t="s">
        <v>0</v>
      </c>
      <c r="AU180" s="18" t="s">
        <v>0</v>
      </c>
      <c r="AV180" s="18">
        <v>143</v>
      </c>
      <c r="AW180" s="18">
        <v>9</v>
      </c>
      <c r="AX180" s="17">
        <v>5</v>
      </c>
      <c r="AY180" s="17">
        <v>7</v>
      </c>
      <c r="AZ180" s="17">
        <v>7</v>
      </c>
      <c r="BA180" s="17">
        <v>8</v>
      </c>
      <c r="BB180" s="18" t="s">
        <v>243</v>
      </c>
      <c r="BC180" s="18" t="s">
        <v>0</v>
      </c>
      <c r="BD180" s="18" t="s">
        <v>0</v>
      </c>
      <c r="BE180" s="18" t="s">
        <v>0</v>
      </c>
      <c r="BF180" s="18" t="s">
        <v>0</v>
      </c>
    </row>
    <row r="181" spans="1:58" s="68" customFormat="1" ht="17.850000000000001" customHeight="1">
      <c r="A181" s="17" t="s">
        <v>95</v>
      </c>
      <c r="B181" s="17">
        <v>30028678</v>
      </c>
      <c r="C181" s="17" t="s">
        <v>818</v>
      </c>
      <c r="D181" s="17" t="s">
        <v>819</v>
      </c>
      <c r="E181" s="17" t="s">
        <v>820</v>
      </c>
      <c r="F181" s="19" t="s">
        <v>781</v>
      </c>
      <c r="G181" s="19" t="s">
        <v>74</v>
      </c>
      <c r="H181" s="17" t="s">
        <v>60</v>
      </c>
      <c r="I181" s="19" t="s">
        <v>76</v>
      </c>
      <c r="J181" s="17" t="s">
        <v>101</v>
      </c>
      <c r="K181" s="19" t="s">
        <v>63</v>
      </c>
      <c r="L181" s="17" t="s">
        <v>78</v>
      </c>
      <c r="M181" s="17" t="s">
        <v>60</v>
      </c>
      <c r="N181" s="17" t="s">
        <v>65</v>
      </c>
      <c r="O181" s="17">
        <v>1012</v>
      </c>
      <c r="P181" s="17" t="s">
        <v>104</v>
      </c>
      <c r="Q181" s="20">
        <f>'[1]FEBE Academics 2024'!R177</f>
        <v>29655</v>
      </c>
      <c r="R181" s="21">
        <f ca="1">YEARFRAC(Q181,TODAY())</f>
        <v>45.402777777777779</v>
      </c>
      <c r="S181" s="20">
        <f>EDATE(Q181,12*65)</f>
        <v>53396</v>
      </c>
      <c r="T181" s="17">
        <v>30110521</v>
      </c>
      <c r="U181" s="17" t="s">
        <v>105</v>
      </c>
      <c r="V181" s="17" t="s">
        <v>106</v>
      </c>
      <c r="W181" s="17" t="s">
        <v>107</v>
      </c>
      <c r="X181" s="22" t="s">
        <v>821</v>
      </c>
      <c r="Y181" s="59" t="s">
        <v>0</v>
      </c>
      <c r="Z181" s="52" t="s">
        <v>822</v>
      </c>
      <c r="AA181" s="34" t="s">
        <v>0</v>
      </c>
      <c r="AB181" s="34">
        <v>2025</v>
      </c>
      <c r="AC181" s="34" t="s">
        <v>85</v>
      </c>
      <c r="AD181" s="34" t="s">
        <v>0</v>
      </c>
      <c r="AE181" s="18" t="s">
        <v>0</v>
      </c>
      <c r="AF181" s="18" t="s">
        <v>0</v>
      </c>
      <c r="AG181" s="18" t="s">
        <v>0</v>
      </c>
      <c r="AH181" s="17" t="s">
        <v>0</v>
      </c>
      <c r="AI181" s="17" t="s">
        <v>0</v>
      </c>
      <c r="AJ181" s="22">
        <v>0.5</v>
      </c>
      <c r="AK181" s="22">
        <v>0</v>
      </c>
      <c r="AL181" s="22">
        <v>0</v>
      </c>
      <c r="AM181" s="32">
        <v>0</v>
      </c>
      <c r="AN181" s="22"/>
      <c r="AO181" s="17" t="s">
        <v>0</v>
      </c>
      <c r="AP181" s="17" t="s">
        <v>0</v>
      </c>
      <c r="AQ181" s="1"/>
      <c r="AR181" s="18" t="s">
        <v>1270</v>
      </c>
      <c r="AS181" s="18" t="s">
        <v>0</v>
      </c>
      <c r="AT181" s="18" t="s">
        <v>0</v>
      </c>
      <c r="AU181" s="18" t="s">
        <v>0</v>
      </c>
      <c r="AV181" s="18" t="s">
        <v>0</v>
      </c>
      <c r="AW181" s="18">
        <v>0</v>
      </c>
      <c r="AX181" s="17">
        <v>0</v>
      </c>
      <c r="AY181" s="17" t="s">
        <v>0</v>
      </c>
      <c r="AZ181" s="17">
        <v>0</v>
      </c>
      <c r="BA181" s="17">
        <v>0</v>
      </c>
      <c r="BB181" s="40" t="s">
        <v>823</v>
      </c>
      <c r="BC181" s="18" t="s">
        <v>0</v>
      </c>
      <c r="BD181" s="18" t="s">
        <v>0</v>
      </c>
      <c r="BE181" s="18" t="s">
        <v>0</v>
      </c>
      <c r="BF181" s="18" t="s">
        <v>0</v>
      </c>
    </row>
    <row r="182" spans="1:58" s="47" customFormat="1" ht="17.850000000000001" customHeight="1">
      <c r="A182" s="17" t="s">
        <v>95</v>
      </c>
      <c r="B182" s="17">
        <v>30013023</v>
      </c>
      <c r="C182" s="17" t="s">
        <v>953</v>
      </c>
      <c r="D182" s="17" t="s">
        <v>954</v>
      </c>
      <c r="E182" s="17" t="s">
        <v>955</v>
      </c>
      <c r="F182" s="19" t="s">
        <v>956</v>
      </c>
      <c r="G182" s="19" t="s">
        <v>105</v>
      </c>
      <c r="H182" s="17" t="s">
        <v>207</v>
      </c>
      <c r="I182" s="19" t="s">
        <v>76</v>
      </c>
      <c r="J182" s="17" t="s">
        <v>101</v>
      </c>
      <c r="K182" s="19" t="s">
        <v>63</v>
      </c>
      <c r="L182" s="17" t="s">
        <v>78</v>
      </c>
      <c r="M182" s="17" t="s">
        <v>207</v>
      </c>
      <c r="N182" s="17" t="s">
        <v>65</v>
      </c>
      <c r="O182" s="17">
        <v>1010</v>
      </c>
      <c r="P182" s="17" t="s">
        <v>514</v>
      </c>
      <c r="Q182" s="20">
        <f>'[1]FEBE Academics 2024'!R178</f>
        <v>26985</v>
      </c>
      <c r="R182" s="21">
        <f ca="1">YEARFRAC(Q182,TODAY())</f>
        <v>52.716666666666669</v>
      </c>
      <c r="S182" s="20">
        <f>EDATE(Q182,12*65)</f>
        <v>50726</v>
      </c>
      <c r="T182" s="17">
        <v>30110521</v>
      </c>
      <c r="U182" s="17" t="s">
        <v>105</v>
      </c>
      <c r="V182" s="17" t="s">
        <v>106</v>
      </c>
      <c r="W182" s="17" t="s">
        <v>107</v>
      </c>
      <c r="X182" s="22" t="s">
        <v>957</v>
      </c>
      <c r="Y182" s="23">
        <v>45995</v>
      </c>
      <c r="Z182" s="34" t="s">
        <v>0</v>
      </c>
      <c r="AA182" s="34" t="s">
        <v>0</v>
      </c>
      <c r="AB182" s="34" t="s">
        <v>0</v>
      </c>
      <c r="AC182" s="34" t="s">
        <v>0</v>
      </c>
      <c r="AD182" s="34" t="s">
        <v>0</v>
      </c>
      <c r="AE182" s="18" t="s">
        <v>0</v>
      </c>
      <c r="AF182" s="18" t="s">
        <v>0</v>
      </c>
      <c r="AG182" s="18" t="s">
        <v>0</v>
      </c>
      <c r="AH182" s="17" t="s">
        <v>0</v>
      </c>
      <c r="AI182" s="17" t="s">
        <v>0</v>
      </c>
      <c r="AJ182" s="22">
        <v>1.5</v>
      </c>
      <c r="AK182" s="22">
        <v>0</v>
      </c>
      <c r="AL182" s="22">
        <v>0</v>
      </c>
      <c r="AM182" s="32">
        <v>0</v>
      </c>
      <c r="AN182" s="22"/>
      <c r="AO182" s="17" t="s">
        <v>0</v>
      </c>
      <c r="AP182" s="17" t="s">
        <v>0</v>
      </c>
      <c r="AQ182" s="206"/>
      <c r="AR182" s="18" t="s">
        <v>1270</v>
      </c>
      <c r="AS182" s="18" t="s">
        <v>0</v>
      </c>
      <c r="AT182" s="18" t="s">
        <v>0</v>
      </c>
      <c r="AU182" s="18" t="s">
        <v>0</v>
      </c>
      <c r="AV182" s="18" t="s">
        <v>0</v>
      </c>
      <c r="AW182" s="18">
        <v>0</v>
      </c>
      <c r="AX182" s="17">
        <v>0</v>
      </c>
      <c r="AY182" s="17" t="s">
        <v>0</v>
      </c>
      <c r="AZ182" s="17">
        <v>0</v>
      </c>
      <c r="BA182" s="17">
        <v>0</v>
      </c>
      <c r="BB182" s="40" t="s">
        <v>958</v>
      </c>
      <c r="BC182" s="18" t="s">
        <v>0</v>
      </c>
      <c r="BD182" s="18" t="s">
        <v>0</v>
      </c>
      <c r="BE182" s="18" t="s">
        <v>0</v>
      </c>
      <c r="BF182" s="18" t="s">
        <v>0</v>
      </c>
    </row>
    <row r="183" spans="1:58" s="68" customFormat="1" ht="17.850000000000001" customHeight="1">
      <c r="A183" s="17" t="s">
        <v>135</v>
      </c>
      <c r="B183" s="17">
        <v>30080174</v>
      </c>
      <c r="C183" s="17" t="s">
        <v>667</v>
      </c>
      <c r="D183" s="17" t="s">
        <v>668</v>
      </c>
      <c r="E183" s="17" t="s">
        <v>669</v>
      </c>
      <c r="F183" s="19" t="s">
        <v>670</v>
      </c>
      <c r="G183" s="19" t="s">
        <v>190</v>
      </c>
      <c r="H183" s="17" t="s">
        <v>671</v>
      </c>
      <c r="I183" s="19" t="s">
        <v>61</v>
      </c>
      <c r="J183" s="17" t="s">
        <v>77</v>
      </c>
      <c r="K183" s="19" t="s">
        <v>63</v>
      </c>
      <c r="L183" s="17" t="s">
        <v>78</v>
      </c>
      <c r="M183" s="17" t="s">
        <v>60</v>
      </c>
      <c r="N183" s="17" t="s">
        <v>65</v>
      </c>
      <c r="O183" s="17">
        <v>531</v>
      </c>
      <c r="P183" s="17" t="s">
        <v>213</v>
      </c>
      <c r="Q183" s="20">
        <f>'[1]FEBE Academics 2024'!R179</f>
        <v>25031</v>
      </c>
      <c r="R183" s="21">
        <f ca="1">YEARFRAC(Q183,TODAY())</f>
        <v>58.06388888888889</v>
      </c>
      <c r="S183" s="20">
        <f>EDATE(Q183,12*65)</f>
        <v>48772</v>
      </c>
      <c r="T183" s="17">
        <v>30015698</v>
      </c>
      <c r="U183" s="17" t="s">
        <v>190</v>
      </c>
      <c r="V183" s="17" t="s">
        <v>191</v>
      </c>
      <c r="W183" s="17" t="s">
        <v>192</v>
      </c>
      <c r="X183" s="22" t="s">
        <v>214</v>
      </c>
      <c r="Y183" s="23">
        <v>45732</v>
      </c>
      <c r="Z183" s="34" t="s">
        <v>0</v>
      </c>
      <c r="AA183" s="34" t="s">
        <v>0</v>
      </c>
      <c r="AB183" s="34" t="s">
        <v>0</v>
      </c>
      <c r="AC183" s="34" t="s">
        <v>0</v>
      </c>
      <c r="AD183" s="34" t="s">
        <v>0</v>
      </c>
      <c r="AE183" s="18" t="s">
        <v>0</v>
      </c>
      <c r="AF183" s="18" t="s">
        <v>0</v>
      </c>
      <c r="AG183" s="18" t="s">
        <v>0</v>
      </c>
      <c r="AH183" s="17" t="s">
        <v>0</v>
      </c>
      <c r="AI183" s="17" t="s">
        <v>0</v>
      </c>
      <c r="AJ183" s="22">
        <v>0.5</v>
      </c>
      <c r="AK183" s="22">
        <v>0</v>
      </c>
      <c r="AL183" s="22">
        <v>0</v>
      </c>
      <c r="AM183" s="22">
        <v>0</v>
      </c>
      <c r="AN183" s="22"/>
      <c r="AO183" s="17" t="s">
        <v>672</v>
      </c>
      <c r="AP183" s="17" t="s">
        <v>0</v>
      </c>
      <c r="AQ183" s="205" t="s">
        <v>1270</v>
      </c>
      <c r="AR183" s="18" t="s">
        <v>1270</v>
      </c>
      <c r="AS183" s="18" t="s">
        <v>0</v>
      </c>
      <c r="AT183" s="18" t="s">
        <v>0</v>
      </c>
      <c r="AU183" s="18" t="s">
        <v>0</v>
      </c>
      <c r="AV183" s="18" t="s">
        <v>0</v>
      </c>
      <c r="AW183" s="18">
        <v>0</v>
      </c>
      <c r="AX183" s="17">
        <v>0</v>
      </c>
      <c r="AY183" s="17" t="s">
        <v>0</v>
      </c>
      <c r="AZ183" s="17">
        <v>0</v>
      </c>
      <c r="BA183" s="17">
        <v>0</v>
      </c>
      <c r="BB183" s="40" t="s">
        <v>673</v>
      </c>
      <c r="BC183" s="18" t="s">
        <v>0</v>
      </c>
      <c r="BD183" s="18" t="s">
        <v>0</v>
      </c>
      <c r="BE183" s="18" t="s">
        <v>0</v>
      </c>
      <c r="BF183" s="18" t="s">
        <v>0</v>
      </c>
    </row>
    <row r="184" spans="1:58" s="68" customFormat="1" ht="17.850000000000001" customHeight="1">
      <c r="A184" s="27" t="s">
        <v>54</v>
      </c>
      <c r="B184" s="27">
        <v>30102989</v>
      </c>
      <c r="C184" s="27" t="s">
        <v>853</v>
      </c>
      <c r="D184" s="27" t="s">
        <v>854</v>
      </c>
      <c r="E184" s="27" t="s">
        <v>855</v>
      </c>
      <c r="F184" s="29" t="s">
        <v>59</v>
      </c>
      <c r="G184" s="29" t="s">
        <v>80</v>
      </c>
      <c r="H184" s="27" t="s">
        <v>60</v>
      </c>
      <c r="I184" s="29" t="s">
        <v>76</v>
      </c>
      <c r="J184" s="27" t="s">
        <v>77</v>
      </c>
      <c r="K184" s="29" t="s">
        <v>63</v>
      </c>
      <c r="L184" s="27" t="s">
        <v>78</v>
      </c>
      <c r="M184" s="27" t="s">
        <v>112</v>
      </c>
      <c r="N184" s="27" t="s">
        <v>856</v>
      </c>
      <c r="O184" s="27">
        <v>594</v>
      </c>
      <c r="P184" s="27" t="s">
        <v>170</v>
      </c>
      <c r="Q184" s="30">
        <f>'[1]FEBE Academics 2024'!R180</f>
        <v>29906</v>
      </c>
      <c r="R184" s="31">
        <f ca="1">YEARFRAC(Q184,TODAY())</f>
        <v>44.719444444444441</v>
      </c>
      <c r="S184" s="30">
        <f>EDATE(Q184,12*65)</f>
        <v>53647</v>
      </c>
      <c r="T184" s="27">
        <v>30007204</v>
      </c>
      <c r="U184" s="27" t="s">
        <v>59</v>
      </c>
      <c r="V184" s="27" t="s">
        <v>66</v>
      </c>
      <c r="W184" s="27" t="s">
        <v>67</v>
      </c>
      <c r="X184" s="32" t="s">
        <v>142</v>
      </c>
      <c r="Y184" s="33">
        <v>46009</v>
      </c>
      <c r="Z184" s="32" t="s">
        <v>0</v>
      </c>
      <c r="AA184" s="34" t="s">
        <v>0</v>
      </c>
      <c r="AB184" s="34" t="s">
        <v>0</v>
      </c>
      <c r="AC184" s="34" t="s">
        <v>0</v>
      </c>
      <c r="AD184" s="34" t="s">
        <v>0</v>
      </c>
      <c r="AE184" s="18" t="s">
        <v>0</v>
      </c>
      <c r="AF184" s="18" t="s">
        <v>0</v>
      </c>
      <c r="AG184" s="18" t="s">
        <v>0</v>
      </c>
      <c r="AH184" s="17" t="s">
        <v>0</v>
      </c>
      <c r="AI184" s="17" t="s">
        <v>0</v>
      </c>
      <c r="AJ184" s="22">
        <v>0.5</v>
      </c>
      <c r="AK184" s="36">
        <v>1.17</v>
      </c>
      <c r="AL184" s="22">
        <v>0</v>
      </c>
      <c r="AM184" s="24">
        <v>0</v>
      </c>
      <c r="AN184" s="75">
        <v>0.5333</v>
      </c>
      <c r="AO184" s="17" t="s">
        <v>274</v>
      </c>
      <c r="AP184" s="17" t="s">
        <v>0</v>
      </c>
      <c r="AQ184" s="205" t="s">
        <v>1270</v>
      </c>
      <c r="AR184" s="209" t="s">
        <v>275</v>
      </c>
      <c r="AS184" s="18" t="s">
        <v>0</v>
      </c>
      <c r="AT184" s="18" t="s">
        <v>0</v>
      </c>
      <c r="AU184" s="18" t="s">
        <v>0</v>
      </c>
      <c r="AV184" s="18">
        <v>39</v>
      </c>
      <c r="AW184" s="18">
        <v>2</v>
      </c>
      <c r="AX184" s="17">
        <v>0</v>
      </c>
      <c r="AY184" s="17">
        <v>3</v>
      </c>
      <c r="AZ184" s="17">
        <v>4</v>
      </c>
      <c r="BA184" s="17">
        <v>3</v>
      </c>
      <c r="BB184" s="18" t="s">
        <v>857</v>
      </c>
      <c r="BC184" s="18">
        <v>1</v>
      </c>
      <c r="BD184" s="18" t="s">
        <v>0</v>
      </c>
      <c r="BE184" s="18" t="s">
        <v>0</v>
      </c>
      <c r="BF184" s="18">
        <v>1</v>
      </c>
    </row>
    <row r="185" spans="1:58" s="68" customFormat="1" ht="17.850000000000001" customHeight="1">
      <c r="A185" s="17" t="s">
        <v>54</v>
      </c>
      <c r="B185" s="17">
        <v>30099776</v>
      </c>
      <c r="C185" s="17" t="s">
        <v>858</v>
      </c>
      <c r="D185" s="17" t="s">
        <v>859</v>
      </c>
      <c r="E185" s="17" t="s">
        <v>860</v>
      </c>
      <c r="F185" s="19" t="s">
        <v>59</v>
      </c>
      <c r="G185" s="19" t="s">
        <v>74</v>
      </c>
      <c r="H185" s="17" t="s">
        <v>60</v>
      </c>
      <c r="I185" s="19" t="s">
        <v>76</v>
      </c>
      <c r="J185" s="17" t="s">
        <v>197</v>
      </c>
      <c r="K185" s="19" t="s">
        <v>63</v>
      </c>
      <c r="L185" s="17" t="s">
        <v>78</v>
      </c>
      <c r="M185" s="17" t="s">
        <v>60</v>
      </c>
      <c r="N185" s="17" t="s">
        <v>65</v>
      </c>
      <c r="O185" s="17">
        <v>594</v>
      </c>
      <c r="P185" s="17" t="s">
        <v>170</v>
      </c>
      <c r="Q185" s="20">
        <f>'[1]FEBE Academics 2024'!R181</f>
        <v>34706</v>
      </c>
      <c r="R185" s="21">
        <f ca="1">YEARFRAC(Q185,TODAY())</f>
        <v>31.577777777777779</v>
      </c>
      <c r="S185" s="20">
        <f>EDATE(Q185,12*65)</f>
        <v>58447</v>
      </c>
      <c r="T185" s="17">
        <v>30007204</v>
      </c>
      <c r="U185" s="17" t="s">
        <v>59</v>
      </c>
      <c r="V185" s="17" t="s">
        <v>66</v>
      </c>
      <c r="W185" s="17" t="s">
        <v>67</v>
      </c>
      <c r="X185" s="22" t="s">
        <v>83</v>
      </c>
      <c r="Y185" s="23">
        <v>45736</v>
      </c>
      <c r="Z185" s="22" t="s">
        <v>746</v>
      </c>
      <c r="AA185" s="34">
        <v>2023</v>
      </c>
      <c r="AB185" s="34">
        <v>2026</v>
      </c>
      <c r="AC185" s="34" t="s">
        <v>85</v>
      </c>
      <c r="AD185" s="22" t="s">
        <v>0</v>
      </c>
      <c r="AE185" s="17" t="s">
        <v>0</v>
      </c>
      <c r="AF185" s="17" t="s">
        <v>0</v>
      </c>
      <c r="AG185" s="17" t="s">
        <v>0</v>
      </c>
      <c r="AH185" s="17" t="s">
        <v>0</v>
      </c>
      <c r="AI185" s="17" t="s">
        <v>0</v>
      </c>
      <c r="AJ185" s="22">
        <v>0.5</v>
      </c>
      <c r="AK185" s="22">
        <v>0</v>
      </c>
      <c r="AL185" s="22">
        <v>0</v>
      </c>
      <c r="AM185" s="24">
        <v>0</v>
      </c>
      <c r="AN185" s="25"/>
      <c r="AO185" s="17" t="s">
        <v>0</v>
      </c>
      <c r="AP185" s="17" t="s">
        <v>0</v>
      </c>
      <c r="AQ185" s="27"/>
      <c r="AR185" s="18" t="s">
        <v>1270</v>
      </c>
      <c r="AS185" s="17" t="s">
        <v>0</v>
      </c>
      <c r="AT185" s="17" t="s">
        <v>0</v>
      </c>
      <c r="AU185" s="17" t="s">
        <v>0</v>
      </c>
      <c r="AV185" s="17" t="s">
        <v>0</v>
      </c>
      <c r="AW185" s="18">
        <v>0</v>
      </c>
      <c r="AX185" s="17">
        <v>0</v>
      </c>
      <c r="AY185" s="17" t="s">
        <v>0</v>
      </c>
      <c r="AZ185" s="17">
        <v>0</v>
      </c>
      <c r="BA185" s="17">
        <v>0</v>
      </c>
      <c r="BB185" s="17" t="s">
        <v>0</v>
      </c>
      <c r="BC185" s="17" t="s">
        <v>0</v>
      </c>
      <c r="BD185" s="17" t="s">
        <v>0</v>
      </c>
      <c r="BE185" s="17" t="s">
        <v>0</v>
      </c>
      <c r="BF185" s="17" t="s">
        <v>0</v>
      </c>
    </row>
    <row r="186" spans="1:58" s="68" customFormat="1" ht="17.850000000000001" customHeight="1">
      <c r="A186" s="17" t="s">
        <v>69</v>
      </c>
      <c r="B186" s="17">
        <v>30080184</v>
      </c>
      <c r="C186" s="17" t="s">
        <v>202</v>
      </c>
      <c r="D186" s="17" t="s">
        <v>203</v>
      </c>
      <c r="E186" s="17" t="s">
        <v>204</v>
      </c>
      <c r="F186" s="19" t="s">
        <v>205</v>
      </c>
      <c r="G186" s="19" t="s">
        <v>105</v>
      </c>
      <c r="H186" s="17" t="s">
        <v>206</v>
      </c>
      <c r="I186" s="19" t="s">
        <v>76</v>
      </c>
      <c r="J186" s="17" t="s">
        <v>62</v>
      </c>
      <c r="K186" s="19" t="s">
        <v>63</v>
      </c>
      <c r="L186" s="17" t="s">
        <v>64</v>
      </c>
      <c r="M186" s="17" t="s">
        <v>207</v>
      </c>
      <c r="N186" s="17" t="s">
        <v>129</v>
      </c>
      <c r="O186" s="17">
        <v>2080</v>
      </c>
      <c r="P186" s="17" t="s">
        <v>153</v>
      </c>
      <c r="Q186" s="20">
        <f>'[1]FEBE Academics 2024'!R182</f>
        <v>25369</v>
      </c>
      <c r="R186" s="21">
        <f ca="1">YEARFRAC(Q186,TODAY())</f>
        <v>57.138888888888886</v>
      </c>
      <c r="S186" s="20">
        <f>EDATE(Q186,12*65)</f>
        <v>49110</v>
      </c>
      <c r="T186" s="17">
        <v>30000294</v>
      </c>
      <c r="U186" s="17" t="s">
        <v>80</v>
      </c>
      <c r="V186" s="17" t="s">
        <v>81</v>
      </c>
      <c r="W186" s="17" t="s">
        <v>82</v>
      </c>
      <c r="X186" s="22" t="s">
        <v>113</v>
      </c>
      <c r="Y186" s="23">
        <v>45729</v>
      </c>
      <c r="Z186" s="34" t="s">
        <v>0</v>
      </c>
      <c r="AA186" s="34" t="s">
        <v>0</v>
      </c>
      <c r="AB186" s="34" t="s">
        <v>0</v>
      </c>
      <c r="AC186" s="34" t="s">
        <v>0</v>
      </c>
      <c r="AD186" s="34" t="s">
        <v>0</v>
      </c>
      <c r="AE186" s="18" t="s">
        <v>0</v>
      </c>
      <c r="AF186" s="18" t="s">
        <v>0</v>
      </c>
      <c r="AG186" s="18" t="s">
        <v>0</v>
      </c>
      <c r="AH186" s="17" t="s">
        <v>0</v>
      </c>
      <c r="AI186" s="17" t="s">
        <v>0</v>
      </c>
      <c r="AJ186" s="22">
        <v>1.5</v>
      </c>
      <c r="AK186" s="36">
        <v>2.8</v>
      </c>
      <c r="AL186" s="22">
        <v>1.1000000000000001</v>
      </c>
      <c r="AM186" s="39">
        <f>0.3333+0.3333+0.1667+0.1667</f>
        <v>0.99999999999999989</v>
      </c>
      <c r="AN186" s="17">
        <f>0.3333+0.1667+0.125+2.4998</f>
        <v>3.1248</v>
      </c>
      <c r="AO186" s="17" t="s">
        <v>208</v>
      </c>
      <c r="AP186" s="17" t="s">
        <v>0</v>
      </c>
      <c r="AQ186" s="205" t="s">
        <v>1270</v>
      </c>
      <c r="AR186" s="190"/>
      <c r="AS186" s="18" t="s">
        <v>0</v>
      </c>
      <c r="AT186" s="18" t="s">
        <v>0</v>
      </c>
      <c r="AU186" s="18" t="s">
        <v>0</v>
      </c>
      <c r="AV186" s="54">
        <v>866</v>
      </c>
      <c r="AW186" s="18">
        <v>10</v>
      </c>
      <c r="AX186" s="17">
        <v>14</v>
      </c>
      <c r="AY186" s="55">
        <v>13</v>
      </c>
      <c r="AZ186" s="17">
        <v>15</v>
      </c>
      <c r="BA186" s="17">
        <v>15</v>
      </c>
      <c r="BB186" s="40" t="s">
        <v>209</v>
      </c>
      <c r="BC186" s="18">
        <v>9</v>
      </c>
      <c r="BD186" s="18">
        <v>1</v>
      </c>
      <c r="BE186" s="18">
        <v>21</v>
      </c>
      <c r="BF186" s="18">
        <v>1</v>
      </c>
    </row>
    <row r="187" spans="1:58" s="68" customFormat="1" ht="17.850000000000001" customHeight="1">
      <c r="A187" s="17" t="s">
        <v>877</v>
      </c>
      <c r="B187" s="17">
        <v>30082157</v>
      </c>
      <c r="C187" s="17" t="s">
        <v>1106</v>
      </c>
      <c r="D187" s="17" t="s">
        <v>1107</v>
      </c>
      <c r="E187" s="17" t="s">
        <v>172</v>
      </c>
      <c r="F187" s="19" t="s">
        <v>171</v>
      </c>
      <c r="G187" s="19" t="s">
        <v>105</v>
      </c>
      <c r="H187" s="17" t="s">
        <v>1108</v>
      </c>
      <c r="I187" s="19" t="s">
        <v>76</v>
      </c>
      <c r="J187" s="17" t="s">
        <v>197</v>
      </c>
      <c r="K187" s="19" t="s">
        <v>63</v>
      </c>
      <c r="L187" s="17" t="s">
        <v>78</v>
      </c>
      <c r="M187" s="17" t="s">
        <v>1109</v>
      </c>
      <c r="N187" s="17" t="s">
        <v>65</v>
      </c>
      <c r="O187" s="17" t="s">
        <v>0</v>
      </c>
      <c r="P187" s="17" t="s">
        <v>0</v>
      </c>
      <c r="Q187" s="20">
        <f>'[1]FEBE Academics 2024'!R184</f>
        <v>23233</v>
      </c>
      <c r="R187" s="21">
        <f ca="1">YEARFRAC(Q187,TODAY())</f>
        <v>62.986111111111114</v>
      </c>
      <c r="S187" s="20">
        <f>EDATE(Q187,12*65)</f>
        <v>46975</v>
      </c>
      <c r="T187" s="17">
        <v>30086008</v>
      </c>
      <c r="U187" s="17" t="s">
        <v>304</v>
      </c>
      <c r="V187" s="17" t="s">
        <v>1032</v>
      </c>
      <c r="W187" s="17" t="s">
        <v>1110</v>
      </c>
      <c r="X187" s="22" t="s">
        <v>1111</v>
      </c>
      <c r="Y187" s="23">
        <v>45765</v>
      </c>
      <c r="Z187" s="22" t="s">
        <v>0</v>
      </c>
      <c r="AA187" s="22" t="s">
        <v>0</v>
      </c>
      <c r="AB187" s="22" t="s">
        <v>0</v>
      </c>
      <c r="AC187" s="22" t="s">
        <v>0</v>
      </c>
      <c r="AD187" s="22" t="s">
        <v>0</v>
      </c>
      <c r="AE187" s="17" t="s">
        <v>0</v>
      </c>
      <c r="AF187" s="17" t="s">
        <v>0</v>
      </c>
      <c r="AG187" s="17" t="s">
        <v>0</v>
      </c>
      <c r="AH187" s="17" t="s">
        <v>0</v>
      </c>
      <c r="AI187" s="17" t="s">
        <v>0</v>
      </c>
      <c r="AJ187" s="22">
        <v>1.5</v>
      </c>
      <c r="AK187" s="36">
        <v>0.25</v>
      </c>
      <c r="AL187" s="22">
        <v>0.33</v>
      </c>
      <c r="AM187" s="124">
        <v>0.25</v>
      </c>
      <c r="AN187" s="36">
        <v>0.51669999999999994</v>
      </c>
      <c r="AO187" s="17" t="s">
        <v>0</v>
      </c>
      <c r="AP187" s="17" t="s">
        <v>0</v>
      </c>
      <c r="AR187" s="18" t="s">
        <v>1270</v>
      </c>
      <c r="AS187" s="17" t="s">
        <v>0</v>
      </c>
      <c r="AT187" s="17" t="s">
        <v>0</v>
      </c>
      <c r="AU187" s="17" t="s">
        <v>0</v>
      </c>
      <c r="AV187" s="17" t="s">
        <v>0</v>
      </c>
      <c r="AW187" s="18">
        <v>0</v>
      </c>
      <c r="AX187" s="17">
        <v>3</v>
      </c>
      <c r="AY187" s="17" t="s">
        <v>0</v>
      </c>
      <c r="AZ187" s="17">
        <v>5</v>
      </c>
      <c r="BA187" s="17">
        <v>6</v>
      </c>
      <c r="BB187" s="18" t="s">
        <v>1112</v>
      </c>
      <c r="BC187" s="17" t="s">
        <v>0</v>
      </c>
      <c r="BD187" s="17" t="s">
        <v>0</v>
      </c>
      <c r="BE187" s="17" t="s">
        <v>0</v>
      </c>
      <c r="BF187" s="17" t="s">
        <v>0</v>
      </c>
    </row>
    <row r="188" spans="1:58" s="68" customFormat="1" ht="17.850000000000001" customHeight="1">
      <c r="A188" s="17" t="s">
        <v>135</v>
      </c>
      <c r="B188" s="17">
        <v>30013608</v>
      </c>
      <c r="C188" s="17" t="s">
        <v>630</v>
      </c>
      <c r="D188" s="17" t="s">
        <v>631</v>
      </c>
      <c r="E188" s="17" t="s">
        <v>632</v>
      </c>
      <c r="F188" s="19" t="s">
        <v>633</v>
      </c>
      <c r="G188" s="19" t="s">
        <v>59</v>
      </c>
      <c r="H188" s="17" t="s">
        <v>60</v>
      </c>
      <c r="I188" s="19" t="s">
        <v>61</v>
      </c>
      <c r="J188" s="17" t="s">
        <v>77</v>
      </c>
      <c r="K188" s="19" t="s">
        <v>63</v>
      </c>
      <c r="L188" s="17" t="s">
        <v>78</v>
      </c>
      <c r="M188" s="17" t="s">
        <v>60</v>
      </c>
      <c r="N188" s="17" t="s">
        <v>65</v>
      </c>
      <c r="O188" s="17">
        <v>531</v>
      </c>
      <c r="P188" s="17" t="s">
        <v>213</v>
      </c>
      <c r="Q188" s="20">
        <f>'[1]FEBE Academics 2024'!R186</f>
        <v>27294</v>
      </c>
      <c r="R188" s="21">
        <f ca="1">YEARFRAC(Q188,TODAY())</f>
        <v>51.869444444444447</v>
      </c>
      <c r="S188" s="20">
        <f>EDATE(Q188,12*65)</f>
        <v>51035</v>
      </c>
      <c r="T188" s="17">
        <v>30015698</v>
      </c>
      <c r="U188" s="17" t="s">
        <v>190</v>
      </c>
      <c r="V188" s="17" t="s">
        <v>191</v>
      </c>
      <c r="W188" s="17" t="s">
        <v>192</v>
      </c>
      <c r="X188" s="22" t="s">
        <v>634</v>
      </c>
      <c r="Y188" s="23">
        <v>36130</v>
      </c>
      <c r="Z188" s="22" t="s">
        <v>0</v>
      </c>
      <c r="AA188" s="22" t="s">
        <v>0</v>
      </c>
      <c r="AB188" s="22" t="s">
        <v>0</v>
      </c>
      <c r="AC188" s="22" t="s">
        <v>0</v>
      </c>
      <c r="AD188" s="22" t="s">
        <v>0</v>
      </c>
      <c r="AE188" s="17" t="s">
        <v>0</v>
      </c>
      <c r="AF188" s="17" t="s">
        <v>0</v>
      </c>
      <c r="AG188" s="17" t="s">
        <v>0</v>
      </c>
      <c r="AH188" s="17" t="s">
        <v>0</v>
      </c>
      <c r="AI188" s="17" t="s">
        <v>0</v>
      </c>
      <c r="AJ188" s="22">
        <v>0.5</v>
      </c>
      <c r="AK188" s="22">
        <v>0</v>
      </c>
      <c r="AL188" s="22">
        <v>0</v>
      </c>
      <c r="AM188" s="22">
        <v>0</v>
      </c>
      <c r="AN188" s="22"/>
      <c r="AO188" s="17" t="s">
        <v>0</v>
      </c>
      <c r="AP188" s="17" t="s">
        <v>0</v>
      </c>
      <c r="AQ188" s="205" t="s">
        <v>1270</v>
      </c>
      <c r="AR188" s="18" t="s">
        <v>1270</v>
      </c>
      <c r="AS188" s="17" t="s">
        <v>0</v>
      </c>
      <c r="AT188" s="17" t="s">
        <v>0</v>
      </c>
      <c r="AU188" s="17" t="s">
        <v>0</v>
      </c>
      <c r="AV188" s="17" t="s">
        <v>0</v>
      </c>
      <c r="AW188" s="18">
        <v>0</v>
      </c>
      <c r="AX188" s="17">
        <v>0</v>
      </c>
      <c r="AY188" s="17" t="s">
        <v>0</v>
      </c>
      <c r="AZ188" s="17">
        <v>0</v>
      </c>
      <c r="BA188" s="17">
        <v>0</v>
      </c>
      <c r="BB188" s="17" t="s">
        <v>94</v>
      </c>
      <c r="BC188" s="17" t="s">
        <v>0</v>
      </c>
      <c r="BD188" s="17" t="s">
        <v>0</v>
      </c>
      <c r="BE188" s="17" t="s">
        <v>0</v>
      </c>
      <c r="BF188" s="17" t="s">
        <v>0</v>
      </c>
    </row>
    <row r="189" spans="1:58" s="69" customFormat="1" ht="17.850000000000001" customHeight="1">
      <c r="A189" s="17" t="s">
        <v>125</v>
      </c>
      <c r="B189" s="17">
        <v>30013688</v>
      </c>
      <c r="C189" s="18" t="s">
        <v>232</v>
      </c>
      <c r="D189" s="17" t="s">
        <v>233</v>
      </c>
      <c r="E189" s="17" t="s">
        <v>234</v>
      </c>
      <c r="F189" s="19" t="s">
        <v>66</v>
      </c>
      <c r="G189" s="19" t="s">
        <v>59</v>
      </c>
      <c r="H189" s="17" t="s">
        <v>60</v>
      </c>
      <c r="I189" s="19" t="s">
        <v>61</v>
      </c>
      <c r="J189" s="17" t="s">
        <v>101</v>
      </c>
      <c r="K189" s="19" t="s">
        <v>63</v>
      </c>
      <c r="L189" s="17" t="s">
        <v>78</v>
      </c>
      <c r="M189" s="17" t="s">
        <v>60</v>
      </c>
      <c r="N189" s="17" t="s">
        <v>65</v>
      </c>
      <c r="O189" s="17">
        <v>2040</v>
      </c>
      <c r="P189" s="17" t="s">
        <v>235</v>
      </c>
      <c r="Q189" s="20">
        <f>'[1]FEBE Academics 2024'!R187</f>
        <v>24246</v>
      </c>
      <c r="R189" s="21">
        <f ca="1">YEARFRAC(Q189,TODAY())</f>
        <v>60.211111111111109</v>
      </c>
      <c r="S189" s="20">
        <f>EDATE(Q189,12*65)</f>
        <v>47987</v>
      </c>
      <c r="T189" s="17">
        <v>30101611</v>
      </c>
      <c r="U189" s="17" t="s">
        <v>105</v>
      </c>
      <c r="V189" s="17" t="s">
        <v>76</v>
      </c>
      <c r="W189" s="17" t="s">
        <v>131</v>
      </c>
      <c r="X189" s="22" t="s">
        <v>236</v>
      </c>
      <c r="Y189" s="60">
        <v>2010</v>
      </c>
      <c r="Z189" s="22" t="s">
        <v>237</v>
      </c>
      <c r="AA189" s="22">
        <v>2010</v>
      </c>
      <c r="AB189" s="22">
        <v>2026</v>
      </c>
      <c r="AC189" s="22" t="s">
        <v>85</v>
      </c>
      <c r="AD189" s="22" t="s">
        <v>238</v>
      </c>
      <c r="AE189" s="17" t="s">
        <v>0</v>
      </c>
      <c r="AF189" s="17" t="s">
        <v>0</v>
      </c>
      <c r="AG189" s="17" t="s">
        <v>0</v>
      </c>
      <c r="AH189" s="17" t="s">
        <v>0</v>
      </c>
      <c r="AI189" s="17" t="s">
        <v>0</v>
      </c>
      <c r="AJ189" s="22">
        <v>0.5</v>
      </c>
      <c r="AK189" s="22">
        <v>0</v>
      </c>
      <c r="AL189" s="22">
        <v>0</v>
      </c>
      <c r="AM189" s="25">
        <v>0</v>
      </c>
      <c r="AN189" s="61">
        <v>0.1</v>
      </c>
      <c r="AO189" s="17" t="s">
        <v>0</v>
      </c>
      <c r="AP189" s="17" t="s">
        <v>0</v>
      </c>
      <c r="AQ189" s="205" t="s">
        <v>1270</v>
      </c>
      <c r="AR189" s="18"/>
      <c r="AS189" s="17" t="s">
        <v>0</v>
      </c>
      <c r="AT189" s="17" t="s">
        <v>0</v>
      </c>
      <c r="AU189" s="17" t="s">
        <v>0</v>
      </c>
      <c r="AV189" s="17" t="s">
        <v>0</v>
      </c>
      <c r="AW189" s="18">
        <v>0</v>
      </c>
      <c r="AX189" s="17">
        <v>0</v>
      </c>
      <c r="AY189" s="17" t="s">
        <v>0</v>
      </c>
      <c r="AZ189" s="17">
        <v>0</v>
      </c>
      <c r="BA189" s="17">
        <v>0</v>
      </c>
      <c r="BB189" s="17" t="s">
        <v>0</v>
      </c>
      <c r="BC189" s="17" t="s">
        <v>0</v>
      </c>
      <c r="BD189" s="17" t="s">
        <v>0</v>
      </c>
      <c r="BE189" s="17" t="s">
        <v>0</v>
      </c>
      <c r="BF189" s="17" t="s">
        <v>0</v>
      </c>
    </row>
    <row r="190" spans="1:58" s="68" customFormat="1" ht="17.850000000000001" customHeight="1">
      <c r="A190" s="17" t="s">
        <v>95</v>
      </c>
      <c r="B190" s="17">
        <v>30013772</v>
      </c>
      <c r="C190" s="17" t="s">
        <v>871</v>
      </c>
      <c r="D190" s="17" t="s">
        <v>872</v>
      </c>
      <c r="E190" s="17" t="s">
        <v>873</v>
      </c>
      <c r="F190" s="19" t="s">
        <v>840</v>
      </c>
      <c r="G190" s="19" t="s">
        <v>74</v>
      </c>
      <c r="H190" s="17" t="s">
        <v>102</v>
      </c>
      <c r="I190" s="19" t="s">
        <v>76</v>
      </c>
      <c r="J190" s="17" t="s">
        <v>101</v>
      </c>
      <c r="K190" s="19" t="s">
        <v>63</v>
      </c>
      <c r="L190" s="17" t="s">
        <v>78</v>
      </c>
      <c r="M190" s="17" t="s">
        <v>102</v>
      </c>
      <c r="N190" s="17" t="s">
        <v>65</v>
      </c>
      <c r="O190" s="17">
        <v>1012</v>
      </c>
      <c r="P190" s="17" t="s">
        <v>104</v>
      </c>
      <c r="Q190" s="20">
        <f>'[1]FEBE Academics 2024'!R188</f>
        <v>26737</v>
      </c>
      <c r="R190" s="21">
        <f ca="1">YEARFRAC(Q190,TODAY())</f>
        <v>53.391666666666666</v>
      </c>
      <c r="S190" s="20">
        <f>EDATE(Q190,12*65)</f>
        <v>50478</v>
      </c>
      <c r="T190" s="17">
        <v>30110521</v>
      </c>
      <c r="U190" s="17" t="s">
        <v>105</v>
      </c>
      <c r="V190" s="17" t="s">
        <v>106</v>
      </c>
      <c r="W190" s="17" t="s">
        <v>107</v>
      </c>
      <c r="X190" s="22" t="s">
        <v>333</v>
      </c>
      <c r="Y190" s="23">
        <v>45994</v>
      </c>
      <c r="Z190" s="34" t="s">
        <v>0</v>
      </c>
      <c r="AA190" s="34" t="s">
        <v>0</v>
      </c>
      <c r="AB190" s="34" t="s">
        <v>0</v>
      </c>
      <c r="AC190" s="34" t="s">
        <v>0</v>
      </c>
      <c r="AD190" s="34" t="s">
        <v>0</v>
      </c>
      <c r="AE190" s="18" t="s">
        <v>0</v>
      </c>
      <c r="AF190" s="18" t="s">
        <v>0</v>
      </c>
      <c r="AG190" s="18" t="s">
        <v>0</v>
      </c>
      <c r="AH190" s="17" t="s">
        <v>0</v>
      </c>
      <c r="AI190" s="17" t="s">
        <v>0</v>
      </c>
      <c r="AJ190" s="22">
        <v>1</v>
      </c>
      <c r="AK190" s="22">
        <v>0</v>
      </c>
      <c r="AL190" s="22">
        <v>0</v>
      </c>
      <c r="AM190" s="32">
        <v>0</v>
      </c>
      <c r="AN190" s="22"/>
      <c r="AO190" s="17" t="s">
        <v>0</v>
      </c>
      <c r="AP190" s="17" t="s">
        <v>0</v>
      </c>
      <c r="AQ190" s="206"/>
      <c r="AR190" s="18" t="s">
        <v>1270</v>
      </c>
      <c r="AS190" s="18" t="s">
        <v>0</v>
      </c>
      <c r="AT190" s="18" t="s">
        <v>0</v>
      </c>
      <c r="AU190" s="18" t="s">
        <v>0</v>
      </c>
      <c r="AV190" s="18" t="s">
        <v>0</v>
      </c>
      <c r="AW190" s="18">
        <v>0</v>
      </c>
      <c r="AX190" s="17">
        <v>0</v>
      </c>
      <c r="AY190" s="17" t="s">
        <v>0</v>
      </c>
      <c r="AZ190" s="17">
        <v>0</v>
      </c>
      <c r="BA190" s="17">
        <v>0</v>
      </c>
      <c r="BB190" s="18" t="s">
        <v>0</v>
      </c>
      <c r="BC190" s="18" t="s">
        <v>0</v>
      </c>
      <c r="BD190" s="18" t="s">
        <v>0</v>
      </c>
      <c r="BE190" s="18" t="s">
        <v>0</v>
      </c>
      <c r="BF190" s="18" t="s">
        <v>0</v>
      </c>
    </row>
    <row r="191" spans="1:58" s="68" customFormat="1" ht="17.850000000000001" customHeight="1">
      <c r="A191" s="17" t="s">
        <v>54</v>
      </c>
      <c r="B191" s="17">
        <v>30084042</v>
      </c>
      <c r="C191" s="17" t="s">
        <v>635</v>
      </c>
      <c r="D191" s="17" t="s">
        <v>636</v>
      </c>
      <c r="E191" s="17" t="s">
        <v>637</v>
      </c>
      <c r="F191" s="19" t="s">
        <v>638</v>
      </c>
      <c r="G191" s="19" t="s">
        <v>59</v>
      </c>
      <c r="H191" s="17" t="s">
        <v>258</v>
      </c>
      <c r="I191" s="19" t="s">
        <v>61</v>
      </c>
      <c r="J191" s="17" t="s">
        <v>77</v>
      </c>
      <c r="K191" s="19" t="s">
        <v>63</v>
      </c>
      <c r="L191" s="17" t="s">
        <v>78</v>
      </c>
      <c r="M191" s="17" t="s">
        <v>258</v>
      </c>
      <c r="N191" s="17" t="s">
        <v>639</v>
      </c>
      <c r="O191" s="17">
        <v>594</v>
      </c>
      <c r="P191" s="17" t="s">
        <v>170</v>
      </c>
      <c r="Q191" s="20">
        <f>'[1]FEBE Academics 2024'!R189</f>
        <v>25014</v>
      </c>
      <c r="R191" s="21">
        <f ca="1">YEARFRAC(Q191,TODAY())</f>
        <v>58.111111111111114</v>
      </c>
      <c r="S191" s="20">
        <f>EDATE(Q191,12*65)</f>
        <v>48755</v>
      </c>
      <c r="T191" s="17">
        <v>30007204</v>
      </c>
      <c r="U191" s="17" t="s">
        <v>59</v>
      </c>
      <c r="V191" s="17" t="s">
        <v>66</v>
      </c>
      <c r="W191" s="17" t="s">
        <v>67</v>
      </c>
      <c r="X191" s="22" t="s">
        <v>640</v>
      </c>
      <c r="Y191" s="23">
        <v>33420</v>
      </c>
      <c r="Z191" s="34" t="s">
        <v>0</v>
      </c>
      <c r="AA191" s="34" t="s">
        <v>0</v>
      </c>
      <c r="AB191" s="34" t="s">
        <v>0</v>
      </c>
      <c r="AC191" s="34" t="s">
        <v>0</v>
      </c>
      <c r="AD191" s="34" t="s">
        <v>0</v>
      </c>
      <c r="AE191" s="18" t="s">
        <v>0</v>
      </c>
      <c r="AF191" s="18" t="s">
        <v>0</v>
      </c>
      <c r="AG191" s="18" t="s">
        <v>0</v>
      </c>
      <c r="AH191" s="17" t="s">
        <v>0</v>
      </c>
      <c r="AI191" s="17" t="s">
        <v>0</v>
      </c>
      <c r="AJ191" s="22">
        <v>0.25</v>
      </c>
      <c r="AK191" s="22">
        <v>0</v>
      </c>
      <c r="AL191" s="22">
        <v>0</v>
      </c>
      <c r="AM191" s="24">
        <v>0</v>
      </c>
      <c r="AN191" s="25"/>
      <c r="AO191" s="17" t="s">
        <v>0</v>
      </c>
      <c r="AP191" s="17" t="s">
        <v>0</v>
      </c>
      <c r="AQ191" s="205" t="s">
        <v>1270</v>
      </c>
      <c r="AR191" s="18" t="s">
        <v>1270</v>
      </c>
      <c r="AS191" s="18" t="s">
        <v>0</v>
      </c>
      <c r="AT191" s="18" t="s">
        <v>0</v>
      </c>
      <c r="AU191" s="18" t="s">
        <v>0</v>
      </c>
      <c r="AV191" s="18" t="s">
        <v>0</v>
      </c>
      <c r="AW191" s="18">
        <v>0</v>
      </c>
      <c r="AX191" s="17">
        <v>0</v>
      </c>
      <c r="AY191" s="17" t="s">
        <v>0</v>
      </c>
      <c r="AZ191" s="17">
        <v>0</v>
      </c>
      <c r="BA191" s="17">
        <v>0</v>
      </c>
      <c r="BB191" s="18" t="s">
        <v>0</v>
      </c>
      <c r="BC191" s="18" t="s">
        <v>0</v>
      </c>
      <c r="BD191" s="18" t="s">
        <v>0</v>
      </c>
      <c r="BE191" s="18" t="s">
        <v>0</v>
      </c>
      <c r="BF191" s="18" t="s">
        <v>0</v>
      </c>
    </row>
    <row r="192" spans="1:58" s="68" customFormat="1" ht="17.850000000000001" customHeight="1">
      <c r="A192" s="17" t="s">
        <v>69</v>
      </c>
      <c r="B192" s="17">
        <v>30013959</v>
      </c>
      <c r="C192" s="17" t="s">
        <v>476</v>
      </c>
      <c r="D192" s="17" t="s">
        <v>477</v>
      </c>
      <c r="E192" s="17" t="s">
        <v>478</v>
      </c>
      <c r="F192" s="19" t="s">
        <v>479</v>
      </c>
      <c r="G192" s="19" t="s">
        <v>74</v>
      </c>
      <c r="H192" s="17" t="s">
        <v>60</v>
      </c>
      <c r="I192" s="19" t="s">
        <v>76</v>
      </c>
      <c r="J192" s="17" t="s">
        <v>101</v>
      </c>
      <c r="K192" s="19" t="s">
        <v>63</v>
      </c>
      <c r="L192" s="17" t="s">
        <v>78</v>
      </c>
      <c r="M192" s="17" t="s">
        <v>60</v>
      </c>
      <c r="N192" s="17" t="s">
        <v>65</v>
      </c>
      <c r="O192" s="17">
        <v>581</v>
      </c>
      <c r="P192" s="17" t="s">
        <v>199</v>
      </c>
      <c r="Q192" s="20">
        <f>'[1]FEBE Academics 2024'!R190</f>
        <v>27304</v>
      </c>
      <c r="R192" s="21">
        <f ca="1">YEARFRAC(Q192,TODAY())</f>
        <v>51.841666666666669</v>
      </c>
      <c r="S192" s="20">
        <f>EDATE(Q192,12*65)</f>
        <v>51045</v>
      </c>
      <c r="T192" s="17">
        <v>30000294</v>
      </c>
      <c r="U192" s="17" t="s">
        <v>80</v>
      </c>
      <c r="V192" s="17" t="s">
        <v>81</v>
      </c>
      <c r="W192" s="17" t="s">
        <v>82</v>
      </c>
      <c r="X192" s="22" t="s">
        <v>480</v>
      </c>
      <c r="Y192" s="23">
        <v>2018</v>
      </c>
      <c r="Z192" s="34" t="s">
        <v>84</v>
      </c>
      <c r="AA192" s="34">
        <v>2023</v>
      </c>
      <c r="AB192" s="34">
        <v>2027</v>
      </c>
      <c r="AC192" s="34" t="s">
        <v>85</v>
      </c>
      <c r="AD192" s="34" t="s">
        <v>0</v>
      </c>
      <c r="AE192" s="18" t="s">
        <v>0</v>
      </c>
      <c r="AF192" s="84" t="s">
        <v>481</v>
      </c>
      <c r="AG192" s="18" t="s">
        <v>0</v>
      </c>
      <c r="AH192" s="17" t="s">
        <v>0</v>
      </c>
      <c r="AI192" s="17" t="s">
        <v>0</v>
      </c>
      <c r="AJ192" s="22">
        <v>0.5</v>
      </c>
      <c r="AK192" s="22">
        <v>0</v>
      </c>
      <c r="AL192" s="22">
        <v>0</v>
      </c>
      <c r="AM192" s="39">
        <v>0.16669999999999999</v>
      </c>
      <c r="AN192" s="17"/>
      <c r="AO192" s="17" t="s">
        <v>0</v>
      </c>
      <c r="AP192" s="17" t="s">
        <v>0</v>
      </c>
      <c r="AQ192" s="205" t="s">
        <v>1270</v>
      </c>
      <c r="AR192" s="18" t="s">
        <v>1270</v>
      </c>
      <c r="AS192" s="18" t="s">
        <v>0</v>
      </c>
      <c r="AT192" s="18" t="s">
        <v>0</v>
      </c>
      <c r="AU192" s="18" t="s">
        <v>0</v>
      </c>
      <c r="AV192" s="18" t="s">
        <v>0</v>
      </c>
      <c r="AW192" s="18">
        <v>0</v>
      </c>
      <c r="AX192" s="17">
        <v>0</v>
      </c>
      <c r="AY192" s="17" t="s">
        <v>0</v>
      </c>
      <c r="AZ192" s="17">
        <v>0</v>
      </c>
      <c r="BA192" s="17">
        <v>0</v>
      </c>
      <c r="BB192" s="18" t="s">
        <v>0</v>
      </c>
      <c r="BC192" s="18" t="s">
        <v>0</v>
      </c>
      <c r="BD192" s="18" t="s">
        <v>0</v>
      </c>
      <c r="BE192" s="18" t="s">
        <v>0</v>
      </c>
      <c r="BF192" s="18" t="s">
        <v>0</v>
      </c>
    </row>
    <row r="193" spans="1:58" s="68" customFormat="1" ht="17.850000000000001" customHeight="1">
      <c r="A193" s="166" t="s">
        <v>115</v>
      </c>
      <c r="B193" s="166">
        <v>30091882</v>
      </c>
      <c r="C193" s="166" t="s">
        <v>1269</v>
      </c>
      <c r="D193" s="166" t="s">
        <v>1031</v>
      </c>
      <c r="E193" s="166" t="s">
        <v>478</v>
      </c>
      <c r="F193" s="167" t="s">
        <v>1032</v>
      </c>
      <c r="G193" s="167" t="s">
        <v>74</v>
      </c>
      <c r="H193" s="166" t="s">
        <v>1033</v>
      </c>
      <c r="I193" s="167" t="s">
        <v>76</v>
      </c>
      <c r="J193" s="166" t="s">
        <v>101</v>
      </c>
      <c r="K193" s="167" t="s">
        <v>1034</v>
      </c>
      <c r="L193" s="166" t="s">
        <v>78</v>
      </c>
      <c r="M193" s="166"/>
      <c r="N193" s="166"/>
      <c r="O193" s="166"/>
      <c r="P193" s="166"/>
      <c r="Q193" s="172">
        <v>27834</v>
      </c>
      <c r="R193" s="166"/>
      <c r="S193" s="168"/>
      <c r="T193" s="166"/>
      <c r="U193" s="166"/>
      <c r="V193" s="166"/>
      <c r="W193" s="166"/>
      <c r="X193" s="166" t="s">
        <v>147</v>
      </c>
      <c r="Y193" s="166"/>
      <c r="Z193" s="166"/>
      <c r="AA193" s="166"/>
      <c r="AB193" s="166"/>
      <c r="AC193" s="166"/>
      <c r="AD193" s="166"/>
      <c r="AE193" s="166"/>
      <c r="AF193" s="166"/>
      <c r="AG193" s="166"/>
      <c r="AH193" s="166"/>
      <c r="AI193" s="166"/>
      <c r="AJ193" s="166"/>
      <c r="AK193" s="166"/>
      <c r="AL193" s="166"/>
      <c r="AM193" s="166"/>
      <c r="AN193" s="170"/>
      <c r="AO193" s="166"/>
      <c r="AP193" s="166"/>
      <c r="AQ193" s="205" t="s">
        <v>1270</v>
      </c>
      <c r="AR193" s="18" t="s">
        <v>1270</v>
      </c>
      <c r="AS193" s="166"/>
      <c r="AT193" s="166"/>
      <c r="AU193" s="166"/>
      <c r="AV193" s="166"/>
      <c r="AW193" s="166"/>
      <c r="AX193" s="166"/>
      <c r="AY193" s="166"/>
      <c r="AZ193" s="166"/>
      <c r="BA193" s="166"/>
      <c r="BB193" s="166"/>
      <c r="BC193" s="166"/>
      <c r="BD193" s="166"/>
      <c r="BE193" s="166"/>
      <c r="BF193" s="166"/>
    </row>
    <row r="194" spans="1:58" ht="18.75" customHeight="1">
      <c r="A194" s="17" t="s">
        <v>95</v>
      </c>
      <c r="B194" s="17">
        <v>30096905</v>
      </c>
      <c r="C194" s="35" t="s">
        <v>96</v>
      </c>
      <c r="D194" s="17" t="s">
        <v>97</v>
      </c>
      <c r="E194" s="17" t="s">
        <v>98</v>
      </c>
      <c r="F194" s="19" t="s">
        <v>99</v>
      </c>
      <c r="G194" s="19" t="s">
        <v>80</v>
      </c>
      <c r="H194" s="17" t="s">
        <v>100</v>
      </c>
      <c r="I194" s="19" t="s">
        <v>76</v>
      </c>
      <c r="J194" s="17" t="s">
        <v>101</v>
      </c>
      <c r="K194" s="19" t="s">
        <v>63</v>
      </c>
      <c r="L194" s="17" t="s">
        <v>78</v>
      </c>
      <c r="M194" s="17" t="s">
        <v>102</v>
      </c>
      <c r="N194" s="17" t="s">
        <v>103</v>
      </c>
      <c r="O194" s="17">
        <v>1012</v>
      </c>
      <c r="P194" s="17" t="s">
        <v>104</v>
      </c>
      <c r="Q194" s="20">
        <f>'[1]FEBE Academics 2024'!R191</f>
        <v>28258</v>
      </c>
      <c r="R194" s="21">
        <f ca="1">YEARFRAC(Q194,TODAY())</f>
        <v>49.227777777777774</v>
      </c>
      <c r="S194" s="20">
        <f>EDATE(Q194,12*65)</f>
        <v>51999</v>
      </c>
      <c r="T194" s="17">
        <v>30110521</v>
      </c>
      <c r="U194" s="17" t="s">
        <v>105</v>
      </c>
      <c r="V194" s="17" t="s">
        <v>106</v>
      </c>
      <c r="W194" s="17" t="s">
        <v>107</v>
      </c>
      <c r="X194" s="22" t="s">
        <v>108</v>
      </c>
      <c r="Y194" s="23">
        <v>45790</v>
      </c>
      <c r="Z194" s="22" t="s">
        <v>0</v>
      </c>
      <c r="AA194" s="22" t="s">
        <v>0</v>
      </c>
      <c r="AB194" s="22" t="s">
        <v>0</v>
      </c>
      <c r="AC194" s="22" t="s">
        <v>0</v>
      </c>
      <c r="AD194" s="22" t="s">
        <v>0</v>
      </c>
      <c r="AE194" s="17" t="s">
        <v>0</v>
      </c>
      <c r="AF194" s="17" t="s">
        <v>0</v>
      </c>
      <c r="AG194" s="17" t="s">
        <v>0</v>
      </c>
      <c r="AH194" s="17" t="s">
        <v>0</v>
      </c>
      <c r="AI194" s="17" t="s">
        <v>0</v>
      </c>
      <c r="AJ194" s="22">
        <v>1</v>
      </c>
      <c r="AK194" s="36">
        <v>0.5</v>
      </c>
      <c r="AL194" s="22">
        <v>0</v>
      </c>
      <c r="AM194" s="32">
        <v>0</v>
      </c>
      <c r="AN194" s="22"/>
      <c r="AO194" s="17" t="s">
        <v>0</v>
      </c>
      <c r="AP194" s="17" t="s">
        <v>0</v>
      </c>
      <c r="AQ194" s="205" t="s">
        <v>1270</v>
      </c>
      <c r="AR194" s="18"/>
      <c r="AS194" s="17" t="s">
        <v>0</v>
      </c>
      <c r="AT194" s="17" t="s">
        <v>0</v>
      </c>
      <c r="AU194" s="17" t="s">
        <v>0</v>
      </c>
      <c r="AV194" s="17" t="s">
        <v>0</v>
      </c>
      <c r="AW194" s="18">
        <v>1</v>
      </c>
      <c r="AX194" s="17">
        <v>3</v>
      </c>
      <c r="AY194" s="17" t="s">
        <v>0</v>
      </c>
      <c r="AZ194" s="17">
        <v>5</v>
      </c>
      <c r="BA194" s="17">
        <v>3</v>
      </c>
      <c r="BB194" s="17" t="s">
        <v>0</v>
      </c>
      <c r="BC194" s="17" t="s">
        <v>0</v>
      </c>
      <c r="BD194" s="17" t="s">
        <v>0</v>
      </c>
      <c r="BE194" s="17" t="s">
        <v>0</v>
      </c>
      <c r="BF194" s="17" t="s">
        <v>0</v>
      </c>
    </row>
    <row r="195" spans="1:58" ht="18.75" customHeight="1">
      <c r="A195" s="17" t="s">
        <v>95</v>
      </c>
      <c r="B195" s="17">
        <v>30014127</v>
      </c>
      <c r="C195" s="17" t="s">
        <v>1061</v>
      </c>
      <c r="D195" s="17" t="s">
        <v>1062</v>
      </c>
      <c r="E195" s="17" t="s">
        <v>1063</v>
      </c>
      <c r="F195" s="19" t="s">
        <v>1038</v>
      </c>
      <c r="G195" s="19" t="s">
        <v>74</v>
      </c>
      <c r="H195" s="17" t="s">
        <v>60</v>
      </c>
      <c r="I195" s="19" t="s">
        <v>76</v>
      </c>
      <c r="J195" s="17" t="s">
        <v>101</v>
      </c>
      <c r="K195" s="19" t="s">
        <v>63</v>
      </c>
      <c r="L195" s="17" t="s">
        <v>78</v>
      </c>
      <c r="M195" s="17" t="s">
        <v>60</v>
      </c>
      <c r="N195" s="17" t="s">
        <v>65</v>
      </c>
      <c r="O195" s="17">
        <v>1012</v>
      </c>
      <c r="P195" s="17" t="s">
        <v>104</v>
      </c>
      <c r="Q195" s="20">
        <f>'[1]FEBE Academics 2024'!R193</f>
        <v>29196</v>
      </c>
      <c r="R195" s="21">
        <f ca="1">YEARFRAC(Q195,TODAY())</f>
        <v>46.661111111111111</v>
      </c>
      <c r="S195" s="20">
        <f>EDATE(Q195,12*65)</f>
        <v>52938</v>
      </c>
      <c r="T195" s="17">
        <v>30110521</v>
      </c>
      <c r="U195" s="17" t="s">
        <v>105</v>
      </c>
      <c r="V195" s="17" t="s">
        <v>106</v>
      </c>
      <c r="W195" s="17" t="s">
        <v>107</v>
      </c>
      <c r="X195" s="22" t="s">
        <v>282</v>
      </c>
      <c r="Y195" s="23">
        <v>45997</v>
      </c>
      <c r="Z195" s="34" t="s">
        <v>0</v>
      </c>
      <c r="AA195" s="34" t="s">
        <v>0</v>
      </c>
      <c r="AB195" s="34" t="s">
        <v>0</v>
      </c>
      <c r="AC195" s="34" t="s">
        <v>0</v>
      </c>
      <c r="AD195" s="34" t="s">
        <v>0</v>
      </c>
      <c r="AE195" s="18" t="s">
        <v>0</v>
      </c>
      <c r="AF195" s="18" t="s">
        <v>0</v>
      </c>
      <c r="AG195" s="18" t="s">
        <v>0</v>
      </c>
      <c r="AH195" s="17" t="s">
        <v>0</v>
      </c>
      <c r="AI195" s="17" t="s">
        <v>0</v>
      </c>
      <c r="AJ195" s="22">
        <v>0.5</v>
      </c>
      <c r="AK195" s="22">
        <v>0</v>
      </c>
      <c r="AL195" s="22">
        <v>0</v>
      </c>
      <c r="AM195" s="32">
        <v>0</v>
      </c>
      <c r="AN195" s="22"/>
      <c r="AO195" s="17" t="s">
        <v>0</v>
      </c>
      <c r="AP195" s="17" t="s">
        <v>0</v>
      </c>
      <c r="AQ195" s="206"/>
      <c r="AR195" s="18" t="s">
        <v>1270</v>
      </c>
      <c r="AS195" s="18" t="s">
        <v>0</v>
      </c>
      <c r="AT195" s="18" t="s">
        <v>0</v>
      </c>
      <c r="AU195" s="18" t="s">
        <v>0</v>
      </c>
      <c r="AV195" s="18" t="s">
        <v>0</v>
      </c>
      <c r="AW195" s="18">
        <v>0</v>
      </c>
      <c r="AX195" s="17">
        <v>0</v>
      </c>
      <c r="AY195" s="17" t="s">
        <v>0</v>
      </c>
      <c r="AZ195" s="17">
        <v>0</v>
      </c>
      <c r="BA195" s="17">
        <v>0</v>
      </c>
      <c r="BB195" s="18" t="s">
        <v>0</v>
      </c>
      <c r="BC195" s="18" t="s">
        <v>0</v>
      </c>
      <c r="BD195" s="18" t="s">
        <v>0</v>
      </c>
      <c r="BE195" s="18" t="s">
        <v>0</v>
      </c>
      <c r="BF195" s="18" t="s">
        <v>0</v>
      </c>
    </row>
    <row r="196" spans="1:58" s="68" customFormat="1" ht="18.75" customHeight="1">
      <c r="A196" s="27" t="s">
        <v>135</v>
      </c>
      <c r="B196" s="27">
        <v>30112863</v>
      </c>
      <c r="C196" s="35" t="s">
        <v>136</v>
      </c>
      <c r="D196" s="27" t="s">
        <v>137</v>
      </c>
      <c r="E196" s="27" t="s">
        <v>138</v>
      </c>
      <c r="F196" s="29" t="s">
        <v>58</v>
      </c>
      <c r="G196" s="29" t="s">
        <v>80</v>
      </c>
      <c r="H196" s="27" t="s">
        <v>139</v>
      </c>
      <c r="I196" s="29" t="s">
        <v>61</v>
      </c>
      <c r="J196" s="27" t="s">
        <v>62</v>
      </c>
      <c r="K196" s="29" t="s">
        <v>63</v>
      </c>
      <c r="L196" s="27" t="s">
        <v>64</v>
      </c>
      <c r="M196" s="27" t="s">
        <v>140</v>
      </c>
      <c r="N196" s="27" t="s">
        <v>65</v>
      </c>
      <c r="O196" s="27"/>
      <c r="P196" s="27"/>
      <c r="Q196" s="44">
        <v>29831</v>
      </c>
      <c r="R196" s="27"/>
      <c r="S196" s="27"/>
      <c r="T196" s="27"/>
      <c r="U196" s="27" t="s">
        <v>59</v>
      </c>
      <c r="V196" s="27" t="s">
        <v>99</v>
      </c>
      <c r="W196" s="27" t="s">
        <v>141</v>
      </c>
      <c r="X196" s="45" t="s">
        <v>142</v>
      </c>
      <c r="Y196" s="46">
        <v>45658</v>
      </c>
      <c r="Z196" s="27"/>
      <c r="AA196" s="27"/>
      <c r="AB196" s="27"/>
      <c r="AC196" s="27"/>
      <c r="AD196" s="27"/>
      <c r="AE196" s="27"/>
      <c r="AF196" s="27"/>
      <c r="AG196" s="27"/>
      <c r="AH196" s="27"/>
      <c r="AI196" s="27"/>
      <c r="AJ196" s="27"/>
      <c r="AK196" s="27"/>
      <c r="AL196" s="27"/>
      <c r="AM196" s="27"/>
      <c r="AN196" s="17"/>
      <c r="AO196" s="27"/>
      <c r="AP196" s="27"/>
      <c r="AQ196" s="206"/>
      <c r="AR196" s="18" t="s">
        <v>1270</v>
      </c>
      <c r="AS196" s="27"/>
      <c r="AT196" s="27"/>
      <c r="AU196" s="27"/>
      <c r="AV196" s="27"/>
      <c r="AW196" s="27"/>
      <c r="AX196" s="27"/>
      <c r="AY196" s="27"/>
      <c r="AZ196" s="27"/>
      <c r="BA196" s="27"/>
      <c r="BB196" s="27"/>
      <c r="BC196" s="27"/>
      <c r="BD196" s="27"/>
      <c r="BE196" s="27"/>
      <c r="BF196" s="27"/>
    </row>
    <row r="197" spans="1:58" s="68" customFormat="1" ht="18.75" customHeight="1">
      <c r="A197" s="62" t="s">
        <v>95</v>
      </c>
      <c r="B197" s="62">
        <v>30097188</v>
      </c>
      <c r="C197" s="62" t="s">
        <v>797</v>
      </c>
      <c r="D197" s="62" t="s">
        <v>798</v>
      </c>
      <c r="E197" s="62" t="s">
        <v>799</v>
      </c>
      <c r="F197" s="132" t="s">
        <v>800</v>
      </c>
      <c r="G197" s="132" t="s">
        <v>74</v>
      </c>
      <c r="H197" s="62" t="s">
        <v>60</v>
      </c>
      <c r="I197" s="132" t="s">
        <v>76</v>
      </c>
      <c r="J197" s="62" t="s">
        <v>101</v>
      </c>
      <c r="K197" s="132" t="s">
        <v>63</v>
      </c>
      <c r="L197" s="62" t="s">
        <v>222</v>
      </c>
      <c r="M197" s="62" t="s">
        <v>140</v>
      </c>
      <c r="N197" s="62" t="s">
        <v>122</v>
      </c>
      <c r="O197" s="62">
        <v>3010</v>
      </c>
      <c r="P197" s="62" t="s">
        <v>293</v>
      </c>
      <c r="Q197" s="133">
        <v>33151</v>
      </c>
      <c r="R197" s="62"/>
      <c r="S197" s="62"/>
      <c r="T197" s="62">
        <v>30007939</v>
      </c>
      <c r="U197" s="62" t="s">
        <v>74</v>
      </c>
      <c r="V197" s="62" t="s">
        <v>223</v>
      </c>
      <c r="W197" s="62" t="s">
        <v>224</v>
      </c>
      <c r="X197" s="134" t="s">
        <v>83</v>
      </c>
      <c r="Y197" s="135">
        <v>42005</v>
      </c>
      <c r="Z197" s="62"/>
      <c r="AA197" s="62"/>
      <c r="AB197" s="62"/>
      <c r="AC197" s="62"/>
      <c r="AD197" s="62"/>
      <c r="AE197" s="62"/>
      <c r="AF197" s="62"/>
      <c r="AG197" s="62"/>
      <c r="AH197" s="62"/>
      <c r="AI197" s="62"/>
      <c r="AJ197" s="62"/>
      <c r="AK197" s="62"/>
      <c r="AL197" s="62"/>
      <c r="AM197" s="62"/>
      <c r="AN197" s="17"/>
      <c r="AO197" s="62"/>
      <c r="AP197" s="62"/>
      <c r="AQ197" s="205"/>
      <c r="AR197" s="18" t="s">
        <v>1270</v>
      </c>
      <c r="AS197" s="62"/>
      <c r="AT197" s="62"/>
      <c r="AU197" s="62"/>
      <c r="AV197" s="62"/>
      <c r="AW197" s="27"/>
      <c r="AX197" s="27"/>
      <c r="AY197" s="27"/>
      <c r="AZ197" s="27"/>
      <c r="BA197" s="62"/>
      <c r="BB197" s="62"/>
      <c r="BC197" s="62"/>
      <c r="BD197" s="62"/>
      <c r="BE197" s="62"/>
      <c r="BF197" s="62"/>
    </row>
    <row r="198" spans="1:58" s="68" customFormat="1" ht="18.75" customHeight="1">
      <c r="A198" s="27" t="s">
        <v>135</v>
      </c>
      <c r="B198" s="27">
        <v>30105393</v>
      </c>
      <c r="C198" s="27" t="s">
        <v>1145</v>
      </c>
      <c r="D198" s="27" t="s">
        <v>1146</v>
      </c>
      <c r="E198" s="27" t="s">
        <v>1147</v>
      </c>
      <c r="F198" s="29" t="s">
        <v>120</v>
      </c>
      <c r="G198" s="29" t="s">
        <v>59</v>
      </c>
      <c r="H198" s="27" t="s">
        <v>253</v>
      </c>
      <c r="I198" s="29" t="s">
        <v>61</v>
      </c>
      <c r="J198" s="27" t="s">
        <v>62</v>
      </c>
      <c r="K198" s="29" t="s">
        <v>63</v>
      </c>
      <c r="L198" s="27" t="s">
        <v>78</v>
      </c>
      <c r="M198" s="27" t="s">
        <v>60</v>
      </c>
      <c r="N198" s="27" t="s">
        <v>65</v>
      </c>
      <c r="O198" s="27">
        <v>531</v>
      </c>
      <c r="P198" s="27" t="s">
        <v>213</v>
      </c>
      <c r="Q198" s="30">
        <f>'[1]FEBE Academics 2024'!R197</f>
        <v>33685</v>
      </c>
      <c r="R198" s="31">
        <f ca="1">YEARFRAC(Q198,TODAY())</f>
        <v>34.369444444444447</v>
      </c>
      <c r="S198" s="30">
        <f>EDATE(Q198,12*65)</f>
        <v>57426</v>
      </c>
      <c r="T198" s="27">
        <v>30015698</v>
      </c>
      <c r="U198" s="27" t="s">
        <v>190</v>
      </c>
      <c r="V198" s="27" t="s">
        <v>191</v>
      </c>
      <c r="W198" s="27" t="s">
        <v>192</v>
      </c>
      <c r="X198" s="32" t="s">
        <v>1148</v>
      </c>
      <c r="Y198" s="33">
        <v>45828</v>
      </c>
      <c r="Z198" s="155" t="s">
        <v>1149</v>
      </c>
      <c r="AA198" s="155" t="s">
        <v>0</v>
      </c>
      <c r="AB198" s="32">
        <v>2024</v>
      </c>
      <c r="AC198" s="32" t="s">
        <v>0</v>
      </c>
      <c r="AD198" s="32" t="s">
        <v>0</v>
      </c>
      <c r="AE198" s="27" t="s">
        <v>0</v>
      </c>
      <c r="AF198" s="27" t="s">
        <v>0</v>
      </c>
      <c r="AG198" s="27" t="s">
        <v>0</v>
      </c>
      <c r="AH198" s="27" t="s">
        <v>0</v>
      </c>
      <c r="AI198" s="27" t="s">
        <v>0</v>
      </c>
      <c r="AJ198" s="32">
        <v>0.5</v>
      </c>
      <c r="AK198" s="32">
        <v>0</v>
      </c>
      <c r="AL198" s="32">
        <v>0</v>
      </c>
      <c r="AM198" s="32">
        <v>0</v>
      </c>
      <c r="AN198" s="22"/>
      <c r="AO198" s="39" t="s">
        <v>0</v>
      </c>
      <c r="AP198" s="39" t="s">
        <v>0</v>
      </c>
      <c r="AQ198" s="207"/>
      <c r="AR198" s="18" t="s">
        <v>1270</v>
      </c>
      <c r="AS198" s="39" t="s">
        <v>0</v>
      </c>
      <c r="AT198" s="39" t="s">
        <v>0</v>
      </c>
      <c r="AU198" s="39" t="s">
        <v>0</v>
      </c>
      <c r="AV198" s="39" t="s">
        <v>0</v>
      </c>
      <c r="AW198" s="18">
        <v>0</v>
      </c>
      <c r="AX198" s="17">
        <v>0</v>
      </c>
      <c r="AY198" s="17" t="s">
        <v>0</v>
      </c>
      <c r="AZ198" s="17">
        <v>0</v>
      </c>
      <c r="BA198" s="39">
        <v>0</v>
      </c>
      <c r="BB198" s="39" t="s">
        <v>94</v>
      </c>
      <c r="BC198" s="39" t="s">
        <v>0</v>
      </c>
      <c r="BD198" s="39" t="s">
        <v>0</v>
      </c>
      <c r="BE198" s="39" t="s">
        <v>0</v>
      </c>
      <c r="BF198" s="39" t="s">
        <v>0</v>
      </c>
    </row>
    <row r="199" spans="1:58" s="68" customFormat="1" ht="18.75" customHeight="1">
      <c r="A199" s="17" t="s">
        <v>95</v>
      </c>
      <c r="B199" s="17">
        <v>30084646</v>
      </c>
      <c r="C199" s="17" t="s">
        <v>988</v>
      </c>
      <c r="D199" s="17" t="s">
        <v>989</v>
      </c>
      <c r="E199" s="17" t="s">
        <v>990</v>
      </c>
      <c r="F199" s="19" t="s">
        <v>991</v>
      </c>
      <c r="G199" s="19" t="s">
        <v>74</v>
      </c>
      <c r="H199" s="17" t="s">
        <v>992</v>
      </c>
      <c r="I199" s="19" t="s">
        <v>76</v>
      </c>
      <c r="J199" s="17" t="s">
        <v>62</v>
      </c>
      <c r="K199" s="19" t="s">
        <v>63</v>
      </c>
      <c r="L199" s="17" t="s">
        <v>78</v>
      </c>
      <c r="M199" s="17" t="s">
        <v>60</v>
      </c>
      <c r="N199" s="17" t="s">
        <v>281</v>
      </c>
      <c r="O199" s="17">
        <v>570</v>
      </c>
      <c r="P199" s="17" t="s">
        <v>532</v>
      </c>
      <c r="Q199" s="20">
        <f>'[1]FEBE Academics 2024'!R198</f>
        <v>29310</v>
      </c>
      <c r="R199" s="21">
        <f ca="1">YEARFRAC(Q199,TODAY())</f>
        <v>46.347222222222221</v>
      </c>
      <c r="S199" s="20">
        <f>EDATE(Q199,12*65)</f>
        <v>53051</v>
      </c>
      <c r="T199" s="17">
        <v>30110521</v>
      </c>
      <c r="U199" s="17" t="s">
        <v>105</v>
      </c>
      <c r="V199" s="17" t="s">
        <v>106</v>
      </c>
      <c r="W199" s="17" t="s">
        <v>107</v>
      </c>
      <c r="X199" s="17" t="s">
        <v>401</v>
      </c>
      <c r="Y199" s="81">
        <v>45734</v>
      </c>
      <c r="Z199" s="18" t="s">
        <v>0</v>
      </c>
      <c r="AA199" s="18" t="s">
        <v>0</v>
      </c>
      <c r="AB199" s="18" t="s">
        <v>0</v>
      </c>
      <c r="AC199" s="18" t="s">
        <v>0</v>
      </c>
      <c r="AD199" s="18" t="s">
        <v>0</v>
      </c>
      <c r="AE199" s="18" t="s">
        <v>0</v>
      </c>
      <c r="AF199" s="18" t="s">
        <v>0</v>
      </c>
      <c r="AG199" s="18" t="s">
        <v>0</v>
      </c>
      <c r="AH199" s="17" t="s">
        <v>0</v>
      </c>
      <c r="AI199" s="17" t="s">
        <v>0</v>
      </c>
      <c r="AJ199" s="22">
        <v>0.5</v>
      </c>
      <c r="AK199" s="17">
        <v>0</v>
      </c>
      <c r="AL199" s="17">
        <v>0</v>
      </c>
      <c r="AM199" s="32">
        <v>0</v>
      </c>
      <c r="AN199" s="22"/>
      <c r="AO199" s="17" t="s">
        <v>0</v>
      </c>
      <c r="AP199" s="17" t="s">
        <v>0</v>
      </c>
      <c r="AQ199" s="206"/>
      <c r="AR199" s="18" t="s">
        <v>1270</v>
      </c>
      <c r="AS199" s="18" t="s">
        <v>0</v>
      </c>
      <c r="AT199" s="18" t="s">
        <v>0</v>
      </c>
      <c r="AU199" s="18" t="s">
        <v>0</v>
      </c>
      <c r="AV199" s="18" t="s">
        <v>0</v>
      </c>
      <c r="AW199" s="18">
        <v>0</v>
      </c>
      <c r="AX199" s="17">
        <v>0</v>
      </c>
      <c r="AY199" s="17" t="s">
        <v>0</v>
      </c>
      <c r="AZ199" s="17">
        <v>0</v>
      </c>
      <c r="BA199" s="17">
        <v>0</v>
      </c>
      <c r="BB199" s="18" t="s">
        <v>94</v>
      </c>
      <c r="BC199" s="18" t="s">
        <v>0</v>
      </c>
      <c r="BD199" s="18" t="s">
        <v>0</v>
      </c>
      <c r="BE199" s="18" t="s">
        <v>0</v>
      </c>
      <c r="BF199" s="18" t="s">
        <v>0</v>
      </c>
    </row>
    <row r="200" spans="1:58" s="68" customFormat="1" ht="18.75" customHeight="1">
      <c r="A200" s="17" t="s">
        <v>54</v>
      </c>
      <c r="B200" s="17">
        <v>30014744</v>
      </c>
      <c r="C200" s="17" t="s">
        <v>998</v>
      </c>
      <c r="D200" s="17" t="s">
        <v>999</v>
      </c>
      <c r="E200" s="17" t="s">
        <v>1000</v>
      </c>
      <c r="F200" s="19" t="s">
        <v>1001</v>
      </c>
      <c r="G200" s="19" t="s">
        <v>74</v>
      </c>
      <c r="H200" s="17" t="s">
        <v>258</v>
      </c>
      <c r="I200" s="19" t="s">
        <v>76</v>
      </c>
      <c r="J200" s="17" t="s">
        <v>101</v>
      </c>
      <c r="K200" s="19" t="s">
        <v>63</v>
      </c>
      <c r="L200" s="17" t="s">
        <v>78</v>
      </c>
      <c r="M200" s="17" t="s">
        <v>258</v>
      </c>
      <c r="N200" s="17" t="s">
        <v>65</v>
      </c>
      <c r="O200" s="17">
        <v>594</v>
      </c>
      <c r="P200" s="17" t="s">
        <v>170</v>
      </c>
      <c r="Q200" s="20">
        <f>'[1]FEBE Academics 2024'!R199</f>
        <v>23316</v>
      </c>
      <c r="R200" s="21">
        <f ca="1">YEARFRAC(Q200,TODAY())</f>
        <v>62.761111111111113</v>
      </c>
      <c r="S200" s="20">
        <f>EDATE(Q200,12*65)</f>
        <v>47058</v>
      </c>
      <c r="T200" s="17">
        <v>30007204</v>
      </c>
      <c r="U200" s="17" t="s">
        <v>59</v>
      </c>
      <c r="V200" s="17" t="s">
        <v>66</v>
      </c>
      <c r="W200" s="17" t="s">
        <v>67</v>
      </c>
      <c r="X200" s="22" t="s">
        <v>1002</v>
      </c>
      <c r="Y200" s="23">
        <v>31717</v>
      </c>
      <c r="Z200" s="22" t="s">
        <v>0</v>
      </c>
      <c r="AA200" s="22" t="s">
        <v>0</v>
      </c>
      <c r="AB200" s="22" t="s">
        <v>0</v>
      </c>
      <c r="AC200" s="22" t="s">
        <v>0</v>
      </c>
      <c r="AD200" s="22" t="s">
        <v>0</v>
      </c>
      <c r="AE200" s="17" t="s">
        <v>0</v>
      </c>
      <c r="AF200" s="17" t="s">
        <v>0</v>
      </c>
      <c r="AG200" s="17" t="s">
        <v>0</v>
      </c>
      <c r="AH200" s="17" t="s">
        <v>0</v>
      </c>
      <c r="AI200" s="17" t="s">
        <v>0</v>
      </c>
      <c r="AJ200" s="22">
        <v>0.25</v>
      </c>
      <c r="AK200" s="22">
        <v>0</v>
      </c>
      <c r="AL200" s="22">
        <v>0</v>
      </c>
      <c r="AM200" s="24">
        <v>0</v>
      </c>
      <c r="AN200" s="25"/>
      <c r="AO200" s="17" t="s">
        <v>0</v>
      </c>
      <c r="AP200" s="17" t="s">
        <v>0</v>
      </c>
      <c r="AQ200" s="206"/>
      <c r="AR200" s="18" t="s">
        <v>1270</v>
      </c>
      <c r="AS200" s="17" t="s">
        <v>0</v>
      </c>
      <c r="AT200" s="17" t="s">
        <v>0</v>
      </c>
      <c r="AU200" s="17" t="s">
        <v>0</v>
      </c>
      <c r="AV200" s="17" t="s">
        <v>0</v>
      </c>
      <c r="AW200" s="18">
        <v>0</v>
      </c>
      <c r="AX200" s="17">
        <v>0</v>
      </c>
      <c r="AY200" s="17" t="s">
        <v>0</v>
      </c>
      <c r="AZ200" s="17">
        <v>0</v>
      </c>
      <c r="BA200" s="17">
        <v>0</v>
      </c>
      <c r="BB200" s="17" t="s">
        <v>94</v>
      </c>
      <c r="BC200" s="17" t="s">
        <v>0</v>
      </c>
      <c r="BD200" s="17" t="s">
        <v>0</v>
      </c>
      <c r="BE200" s="17" t="s">
        <v>0</v>
      </c>
      <c r="BF200" s="17" t="s">
        <v>0</v>
      </c>
    </row>
    <row r="201" spans="1:58" s="68" customFormat="1" ht="18.75" customHeight="1">
      <c r="A201" s="17" t="s">
        <v>135</v>
      </c>
      <c r="B201" s="17">
        <v>30105352</v>
      </c>
      <c r="C201" s="17" t="s">
        <v>993</v>
      </c>
      <c r="D201" s="17" t="s">
        <v>994</v>
      </c>
      <c r="E201" s="17" t="s">
        <v>995</v>
      </c>
      <c r="F201" s="19" t="s">
        <v>63</v>
      </c>
      <c r="G201" s="19" t="s">
        <v>59</v>
      </c>
      <c r="H201" s="17" t="s">
        <v>60</v>
      </c>
      <c r="I201" s="19" t="s">
        <v>61</v>
      </c>
      <c r="J201" s="17" t="s">
        <v>62</v>
      </c>
      <c r="K201" s="19" t="s">
        <v>63</v>
      </c>
      <c r="L201" s="17" t="s">
        <v>78</v>
      </c>
      <c r="M201" s="17" t="s">
        <v>60</v>
      </c>
      <c r="N201" s="17" t="s">
        <v>65</v>
      </c>
      <c r="O201" s="17">
        <v>531</v>
      </c>
      <c r="P201" s="17" t="s">
        <v>213</v>
      </c>
      <c r="Q201" s="20">
        <f>'[1]FEBE Academics 2024'!R200</f>
        <v>35204</v>
      </c>
      <c r="R201" s="21">
        <f ca="1">YEARFRAC(Q201,TODAY())</f>
        <v>30.211111111111112</v>
      </c>
      <c r="S201" s="20">
        <f>EDATE(Q201,12*65)</f>
        <v>58945</v>
      </c>
      <c r="T201" s="17">
        <v>30015698</v>
      </c>
      <c r="U201" s="17" t="s">
        <v>190</v>
      </c>
      <c r="V201" s="17" t="s">
        <v>191</v>
      </c>
      <c r="W201" s="17" t="s">
        <v>192</v>
      </c>
      <c r="X201" s="22" t="s">
        <v>166</v>
      </c>
      <c r="Y201" s="23">
        <v>45767</v>
      </c>
      <c r="Z201" s="22" t="s">
        <v>996</v>
      </c>
      <c r="AA201" s="34">
        <v>2024</v>
      </c>
      <c r="AB201" s="34">
        <v>2024</v>
      </c>
      <c r="AC201" s="34" t="s">
        <v>997</v>
      </c>
      <c r="AD201" s="22" t="s">
        <v>0</v>
      </c>
      <c r="AE201" s="17" t="s">
        <v>0</v>
      </c>
      <c r="AF201" s="17" t="s">
        <v>0</v>
      </c>
      <c r="AG201" s="17" t="s">
        <v>0</v>
      </c>
      <c r="AH201" s="17" t="s">
        <v>0</v>
      </c>
      <c r="AI201" s="17" t="s">
        <v>0</v>
      </c>
      <c r="AJ201" s="22">
        <v>0.5</v>
      </c>
      <c r="AK201" s="22">
        <v>0</v>
      </c>
      <c r="AL201" s="22">
        <v>0</v>
      </c>
      <c r="AM201" s="22">
        <v>0</v>
      </c>
      <c r="AN201" s="22">
        <v>0.5</v>
      </c>
      <c r="AO201" s="17" t="s">
        <v>0</v>
      </c>
      <c r="AP201" s="17" t="s">
        <v>0</v>
      </c>
      <c r="AQ201" s="206"/>
      <c r="AR201" s="18" t="s">
        <v>1270</v>
      </c>
      <c r="AS201" s="17" t="s">
        <v>0</v>
      </c>
      <c r="AT201" s="17" t="s">
        <v>0</v>
      </c>
      <c r="AU201" s="17" t="s">
        <v>0</v>
      </c>
      <c r="AV201" s="17" t="s">
        <v>0</v>
      </c>
      <c r="AW201" s="18">
        <v>0</v>
      </c>
      <c r="AX201" s="17">
        <v>0</v>
      </c>
      <c r="AY201" s="17" t="s">
        <v>0</v>
      </c>
      <c r="AZ201" s="17">
        <v>0</v>
      </c>
      <c r="BA201" s="17">
        <v>0</v>
      </c>
      <c r="BB201" s="17" t="s">
        <v>94</v>
      </c>
      <c r="BC201" s="17" t="s">
        <v>0</v>
      </c>
      <c r="BD201" s="17" t="s">
        <v>0</v>
      </c>
      <c r="BE201" s="17" t="s">
        <v>0</v>
      </c>
      <c r="BF201" s="17" t="s">
        <v>0</v>
      </c>
    </row>
    <row r="202" spans="1:58" s="47" customFormat="1" ht="18.75" customHeight="1">
      <c r="A202" s="27" t="s">
        <v>115</v>
      </c>
      <c r="B202" s="27">
        <v>30105411</v>
      </c>
      <c r="C202" s="64" t="s">
        <v>611</v>
      </c>
      <c r="D202" s="27" t="s">
        <v>612</v>
      </c>
      <c r="E202" s="27" t="s">
        <v>613</v>
      </c>
      <c r="F202" s="29" t="s">
        <v>106</v>
      </c>
      <c r="G202" s="29" t="s">
        <v>190</v>
      </c>
      <c r="H202" s="27" t="s">
        <v>60</v>
      </c>
      <c r="I202" s="29" t="s">
        <v>61</v>
      </c>
      <c r="J202" s="27" t="s">
        <v>197</v>
      </c>
      <c r="K202" s="29" t="s">
        <v>63</v>
      </c>
      <c r="L202" s="27" t="s">
        <v>78</v>
      </c>
      <c r="M202" s="27" t="s">
        <v>60</v>
      </c>
      <c r="N202" s="39" t="s">
        <v>65</v>
      </c>
      <c r="O202" s="39">
        <v>110</v>
      </c>
      <c r="P202" s="39" t="s">
        <v>380</v>
      </c>
      <c r="Q202" s="85">
        <f>'[1]FEBE Academics 2024'!R201</f>
        <v>30765</v>
      </c>
      <c r="R202" s="86">
        <f ca="1">YEARFRAC(Q202,TODAY())</f>
        <v>42.363888888888887</v>
      </c>
      <c r="S202" s="85">
        <f>EDATE(Q202,12*65)</f>
        <v>54506</v>
      </c>
      <c r="T202" s="39">
        <v>30097178</v>
      </c>
      <c r="U202" s="39" t="s">
        <v>105</v>
      </c>
      <c r="V202" s="39" t="s">
        <v>66</v>
      </c>
      <c r="W202" s="39" t="s">
        <v>123</v>
      </c>
      <c r="X202" s="43" t="s">
        <v>467</v>
      </c>
      <c r="Y202" s="87">
        <v>43435</v>
      </c>
      <c r="Z202" s="43" t="s">
        <v>0</v>
      </c>
      <c r="AA202" s="43" t="s">
        <v>0</v>
      </c>
      <c r="AB202" s="43" t="s">
        <v>0</v>
      </c>
      <c r="AC202" s="43" t="s">
        <v>0</v>
      </c>
      <c r="AD202" s="43" t="s">
        <v>0</v>
      </c>
      <c r="AE202" s="39" t="s">
        <v>0</v>
      </c>
      <c r="AF202" s="39" t="s">
        <v>0</v>
      </c>
      <c r="AG202" s="39" t="s">
        <v>0</v>
      </c>
      <c r="AH202" s="39" t="s">
        <v>0</v>
      </c>
      <c r="AI202" s="39" t="s">
        <v>0</v>
      </c>
      <c r="AJ202" s="43">
        <v>0.5</v>
      </c>
      <c r="AK202" s="43">
        <v>0</v>
      </c>
      <c r="AL202" s="43">
        <v>0</v>
      </c>
      <c r="AM202" s="88">
        <v>0</v>
      </c>
      <c r="AN202" s="25"/>
      <c r="AO202" s="39" t="s">
        <v>0</v>
      </c>
      <c r="AP202" s="39" t="s">
        <v>0</v>
      </c>
      <c r="AQ202" s="205" t="s">
        <v>1270</v>
      </c>
      <c r="AR202" s="18"/>
      <c r="AS202" s="39" t="s">
        <v>0</v>
      </c>
      <c r="AT202" s="39" t="s">
        <v>0</v>
      </c>
      <c r="AU202" s="39" t="s">
        <v>0</v>
      </c>
      <c r="AV202" s="39" t="s">
        <v>0</v>
      </c>
      <c r="AW202" s="18">
        <v>0</v>
      </c>
      <c r="AX202" s="17">
        <v>0</v>
      </c>
      <c r="AY202" s="17" t="s">
        <v>0</v>
      </c>
      <c r="AZ202" s="17">
        <v>0</v>
      </c>
      <c r="BA202" s="39">
        <v>0</v>
      </c>
      <c r="BB202" s="39" t="s">
        <v>0</v>
      </c>
      <c r="BC202" s="39" t="s">
        <v>0</v>
      </c>
      <c r="BD202" s="39" t="s">
        <v>0</v>
      </c>
      <c r="BE202" s="39" t="s">
        <v>0</v>
      </c>
      <c r="BF202" s="39" t="s">
        <v>0</v>
      </c>
    </row>
    <row r="203" spans="1:58" s="68" customFormat="1" ht="18.75" customHeight="1">
      <c r="A203" s="27" t="s">
        <v>125</v>
      </c>
      <c r="B203" s="27">
        <v>30110855</v>
      </c>
      <c r="C203" s="27" t="s">
        <v>1258</v>
      </c>
      <c r="D203" s="27" t="s">
        <v>1259</v>
      </c>
      <c r="E203" s="27" t="s">
        <v>1260</v>
      </c>
      <c r="F203" s="29" t="s">
        <v>1261</v>
      </c>
      <c r="G203" s="29" t="s">
        <v>59</v>
      </c>
      <c r="H203" s="27" t="s">
        <v>253</v>
      </c>
      <c r="I203" s="29" t="s">
        <v>61</v>
      </c>
      <c r="J203" s="27" t="s">
        <v>62</v>
      </c>
      <c r="K203" s="29" t="s">
        <v>120</v>
      </c>
      <c r="L203" s="27" t="s">
        <v>78</v>
      </c>
      <c r="M203" s="27" t="s">
        <v>164</v>
      </c>
      <c r="N203" s="27" t="s">
        <v>122</v>
      </c>
      <c r="O203" s="27" t="s">
        <v>311</v>
      </c>
      <c r="P203" s="27" t="s">
        <v>311</v>
      </c>
      <c r="Q203" s="41">
        <v>34847</v>
      </c>
      <c r="R203" s="27"/>
      <c r="S203" s="27"/>
      <c r="T203" s="27">
        <v>30101611</v>
      </c>
      <c r="U203" s="27" t="s">
        <v>105</v>
      </c>
      <c r="V203" s="27" t="s">
        <v>76</v>
      </c>
      <c r="W203" s="27" t="s">
        <v>131</v>
      </c>
      <c r="X203" s="27" t="s">
        <v>83</v>
      </c>
      <c r="Y203" s="42">
        <v>44927</v>
      </c>
      <c r="Z203" s="27" t="s">
        <v>133</v>
      </c>
      <c r="AA203" s="27" t="s">
        <v>133</v>
      </c>
      <c r="AB203" s="27" t="s">
        <v>133</v>
      </c>
      <c r="AC203" s="27" t="s">
        <v>133</v>
      </c>
      <c r="AD203" s="27" t="s">
        <v>133</v>
      </c>
      <c r="AE203" s="32" t="s">
        <v>133</v>
      </c>
      <c r="AF203" s="27"/>
      <c r="AG203" s="27"/>
      <c r="AH203" s="27"/>
      <c r="AI203" s="27"/>
      <c r="AJ203" s="27"/>
      <c r="AK203" s="27"/>
      <c r="AL203" s="27"/>
      <c r="AM203" s="27"/>
      <c r="AN203" s="17"/>
      <c r="AO203" s="27"/>
      <c r="AP203" s="27"/>
      <c r="AQ203" s="205" t="s">
        <v>1270</v>
      </c>
      <c r="AR203" s="18"/>
      <c r="AS203" s="27"/>
      <c r="AT203" s="27"/>
      <c r="AU203" s="27"/>
      <c r="AV203" s="27"/>
      <c r="AW203" s="27"/>
      <c r="AX203" s="27"/>
      <c r="AY203" s="27"/>
      <c r="AZ203" s="27"/>
      <c r="BA203" s="27"/>
      <c r="BB203" s="27"/>
      <c r="BC203" s="27"/>
      <c r="BD203" s="27"/>
      <c r="BE203" s="27"/>
      <c r="BF203" s="27"/>
    </row>
    <row r="204" spans="1:58" s="68" customFormat="1" ht="18.75" customHeight="1">
      <c r="A204" s="170" t="s">
        <v>260</v>
      </c>
      <c r="B204" s="170">
        <v>30112699</v>
      </c>
      <c r="C204" s="174" t="s">
        <v>1226</v>
      </c>
      <c r="D204" s="175" t="s">
        <v>1227</v>
      </c>
      <c r="E204" s="175" t="s">
        <v>1228</v>
      </c>
      <c r="F204" s="176" t="s">
        <v>1229</v>
      </c>
      <c r="G204" s="176" t="s">
        <v>74</v>
      </c>
      <c r="H204" s="166" t="s">
        <v>253</v>
      </c>
      <c r="I204" s="176" t="s">
        <v>76</v>
      </c>
      <c r="J204" s="170" t="s">
        <v>62</v>
      </c>
      <c r="K204" s="176" t="s">
        <v>120</v>
      </c>
      <c r="L204" s="170" t="s">
        <v>78</v>
      </c>
      <c r="M204" s="170" t="s">
        <v>60</v>
      </c>
      <c r="N204" s="170"/>
      <c r="O204" s="170"/>
      <c r="P204" s="170"/>
      <c r="Q204" s="177"/>
      <c r="R204" s="178"/>
      <c r="S204" s="177"/>
      <c r="T204" s="170">
        <v>30010866</v>
      </c>
      <c r="U204" s="170" t="s">
        <v>265</v>
      </c>
      <c r="V204" s="170" t="s">
        <v>266</v>
      </c>
      <c r="W204" s="170" t="s">
        <v>267</v>
      </c>
      <c r="X204" s="179" t="s">
        <v>738</v>
      </c>
      <c r="Y204" s="180"/>
      <c r="Z204" s="181"/>
      <c r="AA204" s="181"/>
      <c r="AB204" s="181"/>
      <c r="AC204" s="181"/>
      <c r="AD204" s="181"/>
      <c r="AE204" s="182"/>
      <c r="AF204" s="182"/>
      <c r="AG204" s="182"/>
      <c r="AH204" s="170"/>
      <c r="AI204" s="170"/>
      <c r="AJ204" s="179"/>
      <c r="AK204" s="183"/>
      <c r="AL204" s="179"/>
      <c r="AM204" s="184"/>
      <c r="AN204" s="189"/>
      <c r="AO204" s="170"/>
      <c r="AP204" s="170"/>
      <c r="AQ204" s="205" t="s">
        <v>1270</v>
      </c>
      <c r="AR204" s="18"/>
      <c r="AS204" s="182"/>
      <c r="AT204" s="182"/>
      <c r="AU204" s="182"/>
      <c r="AV204" s="182"/>
      <c r="AW204" s="182"/>
      <c r="AX204" s="170"/>
      <c r="AY204" s="170"/>
      <c r="AZ204" s="170"/>
      <c r="BA204" s="170"/>
      <c r="BB204" s="182"/>
      <c r="BC204" s="182"/>
      <c r="BD204" s="182"/>
      <c r="BE204" s="182"/>
      <c r="BF204" s="182"/>
    </row>
    <row r="205" spans="1:58" s="68" customFormat="1" ht="18.75" customHeight="1">
      <c r="A205" s="17" t="s">
        <v>54</v>
      </c>
      <c r="B205" s="17">
        <v>30109244</v>
      </c>
      <c r="C205" s="17" t="s">
        <v>602</v>
      </c>
      <c r="D205" s="17" t="s">
        <v>603</v>
      </c>
      <c r="E205" s="17" t="s">
        <v>604</v>
      </c>
      <c r="F205" s="19" t="s">
        <v>605</v>
      </c>
      <c r="G205" s="19" t="s">
        <v>80</v>
      </c>
      <c r="H205" s="17" t="s">
        <v>606</v>
      </c>
      <c r="I205" s="19" t="s">
        <v>76</v>
      </c>
      <c r="J205" s="17" t="s">
        <v>77</v>
      </c>
      <c r="K205" s="19" t="s">
        <v>63</v>
      </c>
      <c r="L205" s="17" t="s">
        <v>64</v>
      </c>
      <c r="M205" s="17" t="s">
        <v>102</v>
      </c>
      <c r="N205" s="17" t="s">
        <v>65</v>
      </c>
      <c r="O205" s="17" t="s">
        <v>0</v>
      </c>
      <c r="P205" s="17" t="s">
        <v>0</v>
      </c>
      <c r="Q205" s="20">
        <f>'[1]FEBE Academics 2024'!R203</f>
        <v>25619</v>
      </c>
      <c r="R205" s="21">
        <f ca="1">YEARFRAC(Q205,TODAY())</f>
        <v>56.458333333333336</v>
      </c>
      <c r="S205" s="20">
        <f>EDATE(Q205,12*65)</f>
        <v>49360</v>
      </c>
      <c r="T205" s="17">
        <v>30007204</v>
      </c>
      <c r="U205" s="17" t="s">
        <v>59</v>
      </c>
      <c r="V205" s="17" t="s">
        <v>66</v>
      </c>
      <c r="W205" s="17" t="s">
        <v>67</v>
      </c>
      <c r="X205" s="22" t="s">
        <v>142</v>
      </c>
      <c r="Y205" s="23">
        <v>35765</v>
      </c>
      <c r="Z205" s="22" t="s">
        <v>0</v>
      </c>
      <c r="AA205" s="22" t="s">
        <v>0</v>
      </c>
      <c r="AB205" s="22" t="s">
        <v>0</v>
      </c>
      <c r="AC205" s="22" t="s">
        <v>0</v>
      </c>
      <c r="AD205" s="22" t="s">
        <v>0</v>
      </c>
      <c r="AE205" s="17" t="s">
        <v>0</v>
      </c>
      <c r="AF205" s="17" t="s">
        <v>0</v>
      </c>
      <c r="AG205" s="17" t="s">
        <v>0</v>
      </c>
      <c r="AH205" s="17" t="s">
        <v>0</v>
      </c>
      <c r="AI205" s="17" t="s">
        <v>0</v>
      </c>
      <c r="AJ205" s="22">
        <v>1</v>
      </c>
      <c r="AK205" s="22">
        <v>0</v>
      </c>
      <c r="AL205" s="22">
        <v>0</v>
      </c>
      <c r="AM205" s="82">
        <f>0.1111+0.1429+0.25+0.125+0.1667+0.25</f>
        <v>1.0457000000000001</v>
      </c>
      <c r="AN205" s="55">
        <v>0.66659999999999997</v>
      </c>
      <c r="AO205" s="17" t="s">
        <v>0</v>
      </c>
      <c r="AP205" s="17" t="s">
        <v>0</v>
      </c>
      <c r="AQ205" s="205" t="s">
        <v>1270</v>
      </c>
      <c r="AR205" s="18"/>
      <c r="AS205" s="17" t="s">
        <v>0</v>
      </c>
      <c r="AT205" s="17" t="s">
        <v>0</v>
      </c>
      <c r="AU205" s="17" t="s">
        <v>0</v>
      </c>
      <c r="AV205" s="17" t="s">
        <v>0</v>
      </c>
      <c r="AW205" s="18">
        <v>54</v>
      </c>
      <c r="AX205" s="17">
        <v>0</v>
      </c>
      <c r="AY205" s="17" t="s">
        <v>0</v>
      </c>
      <c r="AZ205" s="17">
        <v>14</v>
      </c>
      <c r="BA205" s="17">
        <v>0</v>
      </c>
      <c r="BB205" s="17" t="s">
        <v>0</v>
      </c>
      <c r="BC205" s="17" t="s">
        <v>0</v>
      </c>
      <c r="BD205" s="17" t="s">
        <v>0</v>
      </c>
      <c r="BE205" s="17" t="s">
        <v>0</v>
      </c>
      <c r="BF205" s="17" t="s">
        <v>0</v>
      </c>
    </row>
    <row r="206" spans="1:58" s="68" customFormat="1" ht="18.75" customHeight="1">
      <c r="A206" s="17" t="s">
        <v>95</v>
      </c>
      <c r="B206" s="17">
        <v>30104157</v>
      </c>
      <c r="C206" s="17" t="s">
        <v>614</v>
      </c>
      <c r="D206" s="17" t="s">
        <v>615</v>
      </c>
      <c r="E206" s="17" t="s">
        <v>616</v>
      </c>
      <c r="F206" s="19" t="s">
        <v>617</v>
      </c>
      <c r="G206" s="19" t="s">
        <v>74</v>
      </c>
      <c r="H206" s="17" t="s">
        <v>60</v>
      </c>
      <c r="I206" s="19" t="s">
        <v>76</v>
      </c>
      <c r="J206" s="17" t="s">
        <v>101</v>
      </c>
      <c r="K206" s="19" t="s">
        <v>120</v>
      </c>
      <c r="L206" s="17" t="s">
        <v>78</v>
      </c>
      <c r="M206" s="17" t="s">
        <v>60</v>
      </c>
      <c r="N206" s="17" t="s">
        <v>65</v>
      </c>
      <c r="O206" s="17" t="s">
        <v>0</v>
      </c>
      <c r="P206" s="17" t="s">
        <v>0</v>
      </c>
      <c r="Q206" s="37">
        <f>'[1]FEBE Academics 2024'!R204</f>
        <v>34416</v>
      </c>
      <c r="R206" s="38">
        <f ca="1">YEARFRAC(Q206,TODAY())</f>
        <v>32.366666666666667</v>
      </c>
      <c r="S206" s="37">
        <f>EDATE(Q206,12*65)</f>
        <v>58157</v>
      </c>
      <c r="T206" s="17">
        <v>30110521</v>
      </c>
      <c r="U206" s="17" t="s">
        <v>105</v>
      </c>
      <c r="V206" s="17" t="s">
        <v>106</v>
      </c>
      <c r="W206" s="17" t="s">
        <v>107</v>
      </c>
      <c r="X206" s="22" t="s">
        <v>401</v>
      </c>
      <c r="Y206" s="23">
        <v>45984</v>
      </c>
      <c r="Z206" s="22" t="s">
        <v>0</v>
      </c>
      <c r="AA206" s="22" t="s">
        <v>0</v>
      </c>
      <c r="AB206" s="22" t="s">
        <v>0</v>
      </c>
      <c r="AC206" s="22" t="s">
        <v>0</v>
      </c>
      <c r="AD206" s="22" t="s">
        <v>0</v>
      </c>
      <c r="AE206" s="17" t="s">
        <v>0</v>
      </c>
      <c r="AF206" s="17" t="s">
        <v>0</v>
      </c>
      <c r="AG206" s="17" t="s">
        <v>0</v>
      </c>
      <c r="AH206" s="17" t="s">
        <v>0</v>
      </c>
      <c r="AI206" s="17" t="s">
        <v>0</v>
      </c>
      <c r="AJ206" s="22">
        <v>0.5</v>
      </c>
      <c r="AK206" s="22">
        <v>0</v>
      </c>
      <c r="AL206" s="22">
        <v>0</v>
      </c>
      <c r="AM206" s="22">
        <v>0</v>
      </c>
      <c r="AN206" s="22"/>
      <c r="AO206" s="17" t="s">
        <v>0</v>
      </c>
      <c r="AP206" s="17" t="s">
        <v>0</v>
      </c>
      <c r="AQ206" s="205" t="s">
        <v>1270</v>
      </c>
      <c r="AR206" s="18"/>
      <c r="AS206" s="17" t="s">
        <v>0</v>
      </c>
      <c r="AT206" s="17" t="s">
        <v>0</v>
      </c>
      <c r="AU206" s="17" t="s">
        <v>0</v>
      </c>
      <c r="AV206" s="17" t="s">
        <v>0</v>
      </c>
      <c r="AW206" s="39">
        <v>0</v>
      </c>
      <c r="AX206" s="17">
        <v>0</v>
      </c>
      <c r="AY206" s="17" t="s">
        <v>0</v>
      </c>
      <c r="AZ206" s="17">
        <v>0</v>
      </c>
      <c r="BA206" s="17">
        <v>0</v>
      </c>
      <c r="BB206" s="17" t="s">
        <v>0</v>
      </c>
      <c r="BC206" s="17" t="s">
        <v>0</v>
      </c>
      <c r="BD206" s="17" t="s">
        <v>0</v>
      </c>
      <c r="BE206" s="17" t="s">
        <v>0</v>
      </c>
      <c r="BF206" s="17" t="s">
        <v>0</v>
      </c>
    </row>
    <row r="207" spans="1:58" s="68" customFormat="1" ht="18.75" customHeight="1">
      <c r="A207" s="17" t="s">
        <v>54</v>
      </c>
      <c r="B207" s="17">
        <v>30107389</v>
      </c>
      <c r="C207" s="17" t="s">
        <v>674</v>
      </c>
      <c r="D207" s="17" t="s">
        <v>675</v>
      </c>
      <c r="E207" s="17" t="s">
        <v>676</v>
      </c>
      <c r="F207" s="19" t="s">
        <v>434</v>
      </c>
      <c r="G207" s="19" t="s">
        <v>80</v>
      </c>
      <c r="H207" s="17" t="s">
        <v>60</v>
      </c>
      <c r="I207" s="19" t="s">
        <v>61</v>
      </c>
      <c r="J207" s="17" t="s">
        <v>197</v>
      </c>
      <c r="K207" s="19" t="s">
        <v>63</v>
      </c>
      <c r="L207" s="17" t="s">
        <v>78</v>
      </c>
      <c r="M207" s="17" t="s">
        <v>112</v>
      </c>
      <c r="N207" s="17" t="s">
        <v>677</v>
      </c>
      <c r="O207" s="17">
        <v>594</v>
      </c>
      <c r="P207" s="17" t="s">
        <v>170</v>
      </c>
      <c r="Q207" s="20">
        <f>'[1]FEBE Academics 2024'!R205</f>
        <v>31166</v>
      </c>
      <c r="R207" s="21">
        <f ca="1">YEARFRAC(Q207,TODAY())</f>
        <v>41.266666666666666</v>
      </c>
      <c r="S207" s="20">
        <f>EDATE(Q207,12*65)</f>
        <v>54907</v>
      </c>
      <c r="T207" s="17">
        <v>30007204</v>
      </c>
      <c r="U207" s="17" t="s">
        <v>59</v>
      </c>
      <c r="V207" s="17" t="s">
        <v>66</v>
      </c>
      <c r="W207" s="17" t="s">
        <v>67</v>
      </c>
      <c r="X207" s="22" t="s">
        <v>142</v>
      </c>
      <c r="Y207" s="23">
        <v>45857</v>
      </c>
      <c r="Z207" s="22" t="s">
        <v>0</v>
      </c>
      <c r="AA207" s="22" t="s">
        <v>0</v>
      </c>
      <c r="AB207" s="22" t="s">
        <v>0</v>
      </c>
      <c r="AC207" s="22" t="s">
        <v>0</v>
      </c>
      <c r="AD207" s="22" t="s">
        <v>0</v>
      </c>
      <c r="AE207" s="17" t="s">
        <v>0</v>
      </c>
      <c r="AF207" s="17" t="s">
        <v>0</v>
      </c>
      <c r="AG207" s="17" t="s">
        <v>0</v>
      </c>
      <c r="AH207" s="17" t="s">
        <v>0</v>
      </c>
      <c r="AI207" s="17" t="s">
        <v>0</v>
      </c>
      <c r="AJ207" s="22">
        <v>0.5</v>
      </c>
      <c r="AK207" s="22">
        <v>0</v>
      </c>
      <c r="AL207" s="22">
        <v>0</v>
      </c>
      <c r="AM207" s="25">
        <v>0</v>
      </c>
      <c r="AN207" s="61">
        <v>0.2</v>
      </c>
      <c r="AO207" s="17" t="s">
        <v>0</v>
      </c>
      <c r="AP207" s="17" t="s">
        <v>0</v>
      </c>
      <c r="AQ207" s="205" t="s">
        <v>1270</v>
      </c>
      <c r="AR207" s="18" t="s">
        <v>1270</v>
      </c>
      <c r="AS207" s="17" t="s">
        <v>0</v>
      </c>
      <c r="AT207" s="17" t="s">
        <v>0</v>
      </c>
      <c r="AU207" s="17" t="s">
        <v>0</v>
      </c>
      <c r="AV207" s="17" t="s">
        <v>0</v>
      </c>
      <c r="AW207" s="18">
        <v>0</v>
      </c>
      <c r="AX207" s="17">
        <v>9</v>
      </c>
      <c r="AY207" s="17" t="s">
        <v>0</v>
      </c>
      <c r="AZ207" s="17">
        <v>0</v>
      </c>
      <c r="BA207" s="17">
        <v>3</v>
      </c>
      <c r="BB207" s="17" t="s">
        <v>0</v>
      </c>
      <c r="BC207" s="17" t="s">
        <v>0</v>
      </c>
      <c r="BD207" s="17" t="s">
        <v>0</v>
      </c>
      <c r="BE207" s="17" t="s">
        <v>0</v>
      </c>
      <c r="BF207" s="17" t="s">
        <v>0</v>
      </c>
    </row>
    <row r="208" spans="1:58" s="26" customFormat="1" ht="18.75" customHeight="1">
      <c r="A208" s="17" t="s">
        <v>135</v>
      </c>
      <c r="B208" s="17">
        <v>30094406</v>
      </c>
      <c r="C208" s="17" t="s">
        <v>210</v>
      </c>
      <c r="D208" s="17" t="s">
        <v>211</v>
      </c>
      <c r="E208" s="17" t="s">
        <v>212</v>
      </c>
      <c r="F208" s="19" t="s">
        <v>66</v>
      </c>
      <c r="G208" s="19" t="s">
        <v>74</v>
      </c>
      <c r="H208" s="17" t="s">
        <v>60</v>
      </c>
      <c r="I208" s="19" t="s">
        <v>76</v>
      </c>
      <c r="J208" s="17" t="s">
        <v>62</v>
      </c>
      <c r="K208" s="19" t="s">
        <v>63</v>
      </c>
      <c r="L208" s="17" t="s">
        <v>78</v>
      </c>
      <c r="M208" s="17" t="s">
        <v>60</v>
      </c>
      <c r="N208" s="17" t="s">
        <v>65</v>
      </c>
      <c r="O208" s="17">
        <v>531</v>
      </c>
      <c r="P208" s="17" t="s">
        <v>213</v>
      </c>
      <c r="Q208" s="20">
        <f>'[1]FEBE Academics 2024'!R206</f>
        <v>34140</v>
      </c>
      <c r="R208" s="21">
        <f ca="1">YEARFRAC(Q208,TODAY())</f>
        <v>33.125</v>
      </c>
      <c r="S208" s="20">
        <f>EDATE(Q208,12*65)</f>
        <v>57881</v>
      </c>
      <c r="T208" s="17">
        <v>30015698</v>
      </c>
      <c r="U208" s="17" t="s">
        <v>190</v>
      </c>
      <c r="V208" s="17" t="s">
        <v>191</v>
      </c>
      <c r="W208" s="17" t="s">
        <v>192</v>
      </c>
      <c r="X208" s="22" t="s">
        <v>214</v>
      </c>
      <c r="Y208" s="23">
        <v>45737</v>
      </c>
      <c r="Z208" s="22" t="s">
        <v>215</v>
      </c>
      <c r="AA208" s="34">
        <v>2022</v>
      </c>
      <c r="AB208" s="34">
        <v>2025</v>
      </c>
      <c r="AC208" s="34" t="s">
        <v>216</v>
      </c>
      <c r="AD208" s="22" t="s">
        <v>0</v>
      </c>
      <c r="AE208" s="17" t="s">
        <v>0</v>
      </c>
      <c r="AF208" s="17" t="s">
        <v>0</v>
      </c>
      <c r="AG208" s="17" t="s">
        <v>0</v>
      </c>
      <c r="AH208" s="17" t="s">
        <v>0</v>
      </c>
      <c r="AI208" s="17" t="s">
        <v>0</v>
      </c>
      <c r="AJ208" s="22">
        <v>0.5</v>
      </c>
      <c r="AK208" s="22">
        <v>0</v>
      </c>
      <c r="AL208" s="22">
        <v>0</v>
      </c>
      <c r="AM208" s="43">
        <f>1+0.1667+0.133+0.119</f>
        <v>1.4187000000000001</v>
      </c>
      <c r="AN208" s="22">
        <v>0.86670000000000003</v>
      </c>
      <c r="AO208" s="17" t="s">
        <v>0</v>
      </c>
      <c r="AP208" s="17" t="s">
        <v>0</v>
      </c>
      <c r="AQ208" s="205" t="s">
        <v>1270</v>
      </c>
      <c r="AR208" s="18"/>
      <c r="AS208" s="17" t="s">
        <v>0</v>
      </c>
      <c r="AT208" s="17" t="s">
        <v>0</v>
      </c>
      <c r="AU208" s="17" t="s">
        <v>0</v>
      </c>
      <c r="AV208" s="17" t="s">
        <v>0</v>
      </c>
      <c r="AW208" s="18">
        <v>0</v>
      </c>
      <c r="AX208" s="17">
        <v>0</v>
      </c>
      <c r="AY208" s="17" t="s">
        <v>0</v>
      </c>
      <c r="AZ208" s="17">
        <v>0</v>
      </c>
      <c r="BA208" s="17">
        <v>0</v>
      </c>
      <c r="BB208" s="17" t="s">
        <v>94</v>
      </c>
      <c r="BC208" s="17" t="s">
        <v>0</v>
      </c>
      <c r="BD208" s="17" t="s">
        <v>0</v>
      </c>
      <c r="BE208" s="17" t="s">
        <v>0</v>
      </c>
      <c r="BF208" s="17" t="s">
        <v>0</v>
      </c>
    </row>
    <row r="209" spans="1:58" ht="18.75" customHeight="1">
      <c r="A209" s="17" t="s">
        <v>95</v>
      </c>
      <c r="B209" s="17">
        <v>30082370</v>
      </c>
      <c r="C209" s="17" t="s">
        <v>681</v>
      </c>
      <c r="D209" s="17" t="s">
        <v>682</v>
      </c>
      <c r="E209" s="17" t="s">
        <v>683</v>
      </c>
      <c r="F209" s="19" t="s">
        <v>684</v>
      </c>
      <c r="G209" s="19" t="s">
        <v>59</v>
      </c>
      <c r="H209" s="17" t="s">
        <v>60</v>
      </c>
      <c r="I209" s="19" t="s">
        <v>61</v>
      </c>
      <c r="J209" s="17" t="s">
        <v>101</v>
      </c>
      <c r="K209" s="19" t="s">
        <v>63</v>
      </c>
      <c r="L209" s="17" t="s">
        <v>78</v>
      </c>
      <c r="M209" s="17" t="s">
        <v>60</v>
      </c>
      <c r="N209" s="17" t="s">
        <v>65</v>
      </c>
      <c r="O209" s="17">
        <v>1012</v>
      </c>
      <c r="P209" s="17" t="s">
        <v>104</v>
      </c>
      <c r="Q209" s="20">
        <f>'[1]FEBE Academics 2024'!R124</f>
        <v>27476</v>
      </c>
      <c r="R209" s="21">
        <f ca="1">YEARFRAC(Q209,TODAY())</f>
        <v>51.366666666666667</v>
      </c>
      <c r="S209" s="20">
        <f>EDATE(Q209,12*65)</f>
        <v>51218</v>
      </c>
      <c r="T209" s="17">
        <v>30110521</v>
      </c>
      <c r="U209" s="17" t="s">
        <v>105</v>
      </c>
      <c r="V209" s="17" t="s">
        <v>106</v>
      </c>
      <c r="W209" s="17" t="s">
        <v>107</v>
      </c>
      <c r="X209" s="22" t="s">
        <v>401</v>
      </c>
      <c r="Y209" s="23">
        <v>45992</v>
      </c>
      <c r="Z209" s="22" t="s">
        <v>0</v>
      </c>
      <c r="AA209" s="22" t="s">
        <v>0</v>
      </c>
      <c r="AB209" s="22" t="s">
        <v>0</v>
      </c>
      <c r="AC209" s="22" t="s">
        <v>0</v>
      </c>
      <c r="AD209" s="22" t="s">
        <v>0</v>
      </c>
      <c r="AE209" s="17" t="s">
        <v>0</v>
      </c>
      <c r="AF209" s="17" t="s">
        <v>0</v>
      </c>
      <c r="AG209" s="17" t="s">
        <v>0</v>
      </c>
      <c r="AH209" s="17" t="s">
        <v>0</v>
      </c>
      <c r="AI209" s="17" t="s">
        <v>0</v>
      </c>
      <c r="AJ209" s="22">
        <v>0.5</v>
      </c>
      <c r="AK209" s="22">
        <v>0</v>
      </c>
      <c r="AL209" s="22">
        <v>0</v>
      </c>
      <c r="AM209" s="32">
        <v>0</v>
      </c>
      <c r="AN209" s="22"/>
      <c r="AO209" s="17" t="s">
        <v>0</v>
      </c>
      <c r="AP209" s="17" t="s">
        <v>0</v>
      </c>
      <c r="AQ209" s="18" t="s">
        <v>1270</v>
      </c>
      <c r="AR209" s="18" t="s">
        <v>1270</v>
      </c>
      <c r="AS209" s="17" t="s">
        <v>0</v>
      </c>
      <c r="AT209" s="17" t="s">
        <v>0</v>
      </c>
      <c r="AU209" s="17" t="s">
        <v>0</v>
      </c>
      <c r="AV209" s="17" t="s">
        <v>0</v>
      </c>
      <c r="AW209" s="18" t="s">
        <v>0</v>
      </c>
      <c r="AX209" s="17">
        <v>0</v>
      </c>
      <c r="AY209" s="17" t="s">
        <v>0</v>
      </c>
      <c r="AZ209" s="17" t="s">
        <v>0</v>
      </c>
      <c r="BA209" s="17">
        <v>0</v>
      </c>
      <c r="BB209" s="17" t="s">
        <v>94</v>
      </c>
      <c r="BC209" s="17" t="s">
        <v>0</v>
      </c>
      <c r="BD209" s="17" t="s">
        <v>0</v>
      </c>
      <c r="BE209" s="18" t="s">
        <v>0</v>
      </c>
      <c r="BF209" s="18" t="s">
        <v>0</v>
      </c>
    </row>
    <row r="210" spans="1:58" ht="18.75" customHeight="1">
      <c r="A210" s="27" t="s">
        <v>115</v>
      </c>
      <c r="B210" s="27">
        <v>30090167</v>
      </c>
      <c r="C210" s="27" t="s">
        <v>143</v>
      </c>
      <c r="D210" s="27" t="s">
        <v>144</v>
      </c>
      <c r="E210" s="27" t="s">
        <v>145</v>
      </c>
      <c r="F210" s="29" t="s">
        <v>146</v>
      </c>
      <c r="G210" s="29" t="s">
        <v>59</v>
      </c>
      <c r="H210" s="27" t="s">
        <v>60</v>
      </c>
      <c r="I210" s="29" t="s">
        <v>61</v>
      </c>
      <c r="J210" s="27" t="s">
        <v>62</v>
      </c>
      <c r="K210" s="29" t="s">
        <v>63</v>
      </c>
      <c r="L210" s="27" t="s">
        <v>78</v>
      </c>
      <c r="M210" s="27" t="s">
        <v>60</v>
      </c>
      <c r="N210" s="17" t="s">
        <v>65</v>
      </c>
      <c r="O210" s="17" t="s">
        <v>0</v>
      </c>
      <c r="P210" s="17" t="s">
        <v>0</v>
      </c>
      <c r="Q210" s="20">
        <f>'[1]FEBE Academics 2024'!R207</f>
        <v>33104</v>
      </c>
      <c r="R210" s="21">
        <f ca="1">YEARFRAC(Q210,TODAY())</f>
        <v>35.961111111111109</v>
      </c>
      <c r="S210" s="20">
        <f>EDATE(Q210,12*65)</f>
        <v>56845</v>
      </c>
      <c r="T210" s="17">
        <v>30097178</v>
      </c>
      <c r="U210" s="17" t="s">
        <v>105</v>
      </c>
      <c r="V210" s="17" t="s">
        <v>66</v>
      </c>
      <c r="W210" s="17" t="s">
        <v>123</v>
      </c>
      <c r="X210" s="22" t="s">
        <v>147</v>
      </c>
      <c r="Y210" s="23">
        <v>45739</v>
      </c>
      <c r="Z210" s="22" t="s">
        <v>148</v>
      </c>
      <c r="AA210" s="34">
        <v>2024</v>
      </c>
      <c r="AB210" s="34">
        <v>2026</v>
      </c>
      <c r="AC210" s="34" t="s">
        <v>85</v>
      </c>
      <c r="AD210" s="22" t="s">
        <v>0</v>
      </c>
      <c r="AE210" s="17" t="s">
        <v>0</v>
      </c>
      <c r="AF210" s="17" t="s">
        <v>0</v>
      </c>
      <c r="AG210" s="17" t="s">
        <v>0</v>
      </c>
      <c r="AH210" s="17" t="s">
        <v>0</v>
      </c>
      <c r="AI210" s="17" t="s">
        <v>0</v>
      </c>
      <c r="AJ210" s="22">
        <v>0.5</v>
      </c>
      <c r="AK210" s="22">
        <v>0</v>
      </c>
      <c r="AL210" s="22">
        <v>0</v>
      </c>
      <c r="AM210" s="25">
        <v>0</v>
      </c>
      <c r="AN210" s="25"/>
      <c r="AO210" s="17" t="s">
        <v>0</v>
      </c>
      <c r="AP210" s="17" t="s">
        <v>0</v>
      </c>
      <c r="AQ210" s="18" t="s">
        <v>1270</v>
      </c>
      <c r="AR210" s="18"/>
      <c r="AS210" s="17" t="s">
        <v>0</v>
      </c>
      <c r="AT210" s="17" t="s">
        <v>0</v>
      </c>
      <c r="AU210" s="17" t="s">
        <v>0</v>
      </c>
      <c r="AV210" s="17" t="s">
        <v>0</v>
      </c>
      <c r="AW210" s="18">
        <v>0</v>
      </c>
      <c r="AX210" s="17">
        <v>0</v>
      </c>
      <c r="AY210" s="17" t="s">
        <v>0</v>
      </c>
      <c r="AZ210" s="17">
        <v>0</v>
      </c>
      <c r="BA210" s="17">
        <v>0</v>
      </c>
      <c r="BB210" s="17" t="s">
        <v>0</v>
      </c>
      <c r="BC210" s="17" t="s">
        <v>0</v>
      </c>
      <c r="BD210" s="17" t="s">
        <v>0</v>
      </c>
      <c r="BE210" s="17" t="s">
        <v>0</v>
      </c>
      <c r="BF210" s="17" t="s">
        <v>0</v>
      </c>
    </row>
    <row r="211" spans="1:58" s="156" customFormat="1" ht="18.75" customHeight="1">
      <c r="A211" s="27" t="s">
        <v>217</v>
      </c>
      <c r="B211" s="27">
        <v>30113266</v>
      </c>
      <c r="C211" s="200" t="s">
        <v>218</v>
      </c>
      <c r="D211" s="27" t="s">
        <v>219</v>
      </c>
      <c r="E211" s="27" t="s">
        <v>220</v>
      </c>
      <c r="F211" s="29" t="s">
        <v>221</v>
      </c>
      <c r="G211" s="29" t="s">
        <v>74</v>
      </c>
      <c r="H211" s="27" t="s">
        <v>60</v>
      </c>
      <c r="I211" s="29" t="s">
        <v>76</v>
      </c>
      <c r="J211" s="27" t="s">
        <v>62</v>
      </c>
      <c r="K211" s="29" t="s">
        <v>63</v>
      </c>
      <c r="L211" s="27" t="s">
        <v>222</v>
      </c>
      <c r="M211" s="27" t="s">
        <v>140</v>
      </c>
      <c r="N211" s="27" t="s">
        <v>122</v>
      </c>
      <c r="O211" s="27"/>
      <c r="P211" s="27"/>
      <c r="Q211" s="44">
        <v>34462</v>
      </c>
      <c r="R211" s="27"/>
      <c r="S211" s="27"/>
      <c r="T211" s="27">
        <v>30007939</v>
      </c>
      <c r="U211" s="27" t="s">
        <v>74</v>
      </c>
      <c r="V211" s="27" t="s">
        <v>223</v>
      </c>
      <c r="W211" s="27" t="s">
        <v>224</v>
      </c>
      <c r="X211" s="56" t="s">
        <v>225</v>
      </c>
      <c r="Y211" s="57">
        <v>45292</v>
      </c>
      <c r="Z211" s="27"/>
      <c r="AA211" s="27"/>
      <c r="AB211" s="27"/>
      <c r="AC211" s="27"/>
      <c r="AD211" s="27"/>
      <c r="AE211" s="27"/>
      <c r="AF211" s="27"/>
      <c r="AG211" s="27"/>
      <c r="AH211" s="27"/>
      <c r="AI211" s="27"/>
      <c r="AJ211" s="27"/>
      <c r="AK211" s="27"/>
      <c r="AL211" s="27"/>
      <c r="AM211" s="27"/>
      <c r="AN211" s="17"/>
      <c r="AO211" s="27"/>
      <c r="AP211" s="27"/>
      <c r="AQ211" s="39"/>
      <c r="AR211" s="18" t="s">
        <v>1270</v>
      </c>
      <c r="AS211" s="27"/>
      <c r="AT211" s="27"/>
      <c r="AU211" s="27"/>
      <c r="AV211" s="27"/>
      <c r="AW211" s="27"/>
      <c r="AX211" s="27"/>
      <c r="AY211" s="27"/>
      <c r="AZ211" s="27"/>
      <c r="BA211" s="27"/>
      <c r="BB211" s="27"/>
      <c r="BC211" s="27"/>
      <c r="BD211" s="27"/>
      <c r="BE211" s="27"/>
      <c r="BF211" s="27"/>
    </row>
    <row r="212" spans="1:58" s="156" customFormat="1" ht="18.75" customHeight="1">
      <c r="A212" s="27" t="s">
        <v>217</v>
      </c>
      <c r="B212" s="28">
        <v>30105398</v>
      </c>
      <c r="C212" s="28" t="s">
        <v>1040</v>
      </c>
      <c r="D212" s="28" t="s">
        <v>1041</v>
      </c>
      <c r="E212" s="28" t="s">
        <v>1042</v>
      </c>
      <c r="F212" s="157" t="s">
        <v>171</v>
      </c>
      <c r="G212" s="157" t="s">
        <v>74</v>
      </c>
      <c r="H212" s="27" t="s">
        <v>75</v>
      </c>
      <c r="I212" s="29" t="s">
        <v>76</v>
      </c>
      <c r="J212" s="27" t="s">
        <v>62</v>
      </c>
      <c r="K212" s="29" t="s">
        <v>63</v>
      </c>
      <c r="L212" s="27" t="s">
        <v>222</v>
      </c>
      <c r="M212" s="27" t="s">
        <v>60</v>
      </c>
      <c r="N212" s="27" t="s">
        <v>65</v>
      </c>
      <c r="O212" s="27">
        <v>3010</v>
      </c>
      <c r="P212" s="27" t="s">
        <v>293</v>
      </c>
      <c r="Q212" s="30">
        <f>'[1]FEBE Academics 2024'!R208</f>
        <v>34010</v>
      </c>
      <c r="R212" s="31">
        <f ca="1">YEARFRAC(Q212,TODAY())</f>
        <v>33.486111111111114</v>
      </c>
      <c r="S212" s="30">
        <f>EDATE(Q212,12*65)</f>
        <v>57751</v>
      </c>
      <c r="T212" s="27">
        <v>30007939</v>
      </c>
      <c r="U212" s="27" t="s">
        <v>74</v>
      </c>
      <c r="V212" s="27" t="s">
        <v>223</v>
      </c>
      <c r="W212" s="27" t="s">
        <v>224</v>
      </c>
      <c r="X212" s="32" t="s">
        <v>591</v>
      </c>
      <c r="Y212" s="33">
        <v>45769</v>
      </c>
      <c r="Z212" s="32" t="s">
        <v>1043</v>
      </c>
      <c r="AA212" s="32">
        <v>2023</v>
      </c>
      <c r="AB212" s="32">
        <v>2027</v>
      </c>
      <c r="AC212" s="32" t="s">
        <v>418</v>
      </c>
      <c r="AD212" s="148" t="s">
        <v>1044</v>
      </c>
      <c r="AE212" s="27" t="s">
        <v>0</v>
      </c>
      <c r="AF212" s="27" t="s">
        <v>0</v>
      </c>
      <c r="AG212" s="27" t="s">
        <v>0</v>
      </c>
      <c r="AH212" s="27" t="s">
        <v>0</v>
      </c>
      <c r="AI212" s="27" t="s">
        <v>0</v>
      </c>
      <c r="AJ212" s="32">
        <v>0.5</v>
      </c>
      <c r="AK212" s="32">
        <v>0</v>
      </c>
      <c r="AL212" s="32">
        <v>0</v>
      </c>
      <c r="AM212" s="27">
        <v>0</v>
      </c>
      <c r="AN212" s="17"/>
      <c r="AO212" s="27" t="s">
        <v>0</v>
      </c>
      <c r="AP212" s="27" t="s">
        <v>0</v>
      </c>
      <c r="AQ212" s="39"/>
      <c r="AR212" s="18" t="s">
        <v>1270</v>
      </c>
      <c r="AS212" s="27" t="s">
        <v>0</v>
      </c>
      <c r="AT212" s="27" t="s">
        <v>0</v>
      </c>
      <c r="AU212" s="27" t="s">
        <v>0</v>
      </c>
      <c r="AV212" s="27" t="s">
        <v>0</v>
      </c>
      <c r="AW212" s="27">
        <v>0</v>
      </c>
      <c r="AX212" s="27">
        <v>0</v>
      </c>
      <c r="AY212" s="27" t="s">
        <v>0</v>
      </c>
      <c r="AZ212" s="27">
        <v>1</v>
      </c>
      <c r="BA212" s="27">
        <v>1</v>
      </c>
      <c r="BB212" s="27" t="s">
        <v>0</v>
      </c>
      <c r="BC212" s="27" t="s">
        <v>0</v>
      </c>
      <c r="BD212" s="27" t="s">
        <v>0</v>
      </c>
      <c r="BE212" s="27" t="s">
        <v>0</v>
      </c>
      <c r="BF212" s="27" t="s">
        <v>0</v>
      </c>
    </row>
    <row r="213" spans="1:58" s="156" customFormat="1" ht="18.75" customHeight="1">
      <c r="A213" s="17" t="s">
        <v>260</v>
      </c>
      <c r="B213" s="17">
        <v>30087817</v>
      </c>
      <c r="C213" s="65" t="s">
        <v>313</v>
      </c>
      <c r="D213" s="17" t="s">
        <v>314</v>
      </c>
      <c r="E213" s="17" t="s">
        <v>315</v>
      </c>
      <c r="F213" s="19" t="s">
        <v>316</v>
      </c>
      <c r="G213" s="19" t="s">
        <v>105</v>
      </c>
      <c r="H213" s="17" t="s">
        <v>317</v>
      </c>
      <c r="I213" s="19" t="s">
        <v>61</v>
      </c>
      <c r="J213" s="17" t="s">
        <v>101</v>
      </c>
      <c r="K213" s="19" t="s">
        <v>63</v>
      </c>
      <c r="L213" s="17" t="s">
        <v>64</v>
      </c>
      <c r="M213" s="17" t="s">
        <v>102</v>
      </c>
      <c r="N213" s="17" t="s">
        <v>65</v>
      </c>
      <c r="O213" s="17">
        <v>2080</v>
      </c>
      <c r="P213" s="17" t="s">
        <v>153</v>
      </c>
      <c r="Q213" s="20">
        <f>'[1]FEBE Academics 2024'!R210</f>
        <v>28292</v>
      </c>
      <c r="R213" s="21">
        <f ca="1">YEARFRAC(Q213,TODAY())</f>
        <v>49.136111111111113</v>
      </c>
      <c r="S213" s="20">
        <f>EDATE(Q213,12*65)</f>
        <v>52033</v>
      </c>
      <c r="T213" s="17">
        <v>30010866</v>
      </c>
      <c r="U213" s="17" t="s">
        <v>318</v>
      </c>
      <c r="V213" s="17" t="s">
        <v>171</v>
      </c>
      <c r="W213" s="17" t="s">
        <v>172</v>
      </c>
      <c r="X213" s="22" t="s">
        <v>142</v>
      </c>
      <c r="Y213" s="23">
        <v>45888</v>
      </c>
      <c r="Z213" s="34" t="s">
        <v>0</v>
      </c>
      <c r="AA213" s="34" t="s">
        <v>0</v>
      </c>
      <c r="AB213" s="34" t="s">
        <v>0</v>
      </c>
      <c r="AC213" s="34" t="s">
        <v>0</v>
      </c>
      <c r="AD213" s="34" t="s">
        <v>0</v>
      </c>
      <c r="AE213" s="18" t="s">
        <v>0</v>
      </c>
      <c r="AF213" s="18" t="s">
        <v>0</v>
      </c>
      <c r="AG213" s="18" t="s">
        <v>0</v>
      </c>
      <c r="AH213" s="17" t="s">
        <v>0</v>
      </c>
      <c r="AI213" s="17" t="s">
        <v>0</v>
      </c>
      <c r="AJ213" s="22">
        <v>1</v>
      </c>
      <c r="AK213" s="36">
        <v>1.1000000000000001</v>
      </c>
      <c r="AL213" s="22">
        <v>0.92</v>
      </c>
      <c r="AM213" s="78">
        <f>0.25+0.25+0.25</f>
        <v>0.75</v>
      </c>
      <c r="AN213" s="48">
        <v>1.9000000000000001</v>
      </c>
      <c r="AO213" s="17" t="s">
        <v>0</v>
      </c>
      <c r="AP213" s="17" t="s">
        <v>0</v>
      </c>
      <c r="AQ213" s="18" t="s">
        <v>1270</v>
      </c>
      <c r="AR213" s="18"/>
      <c r="AS213" s="18" t="s">
        <v>0</v>
      </c>
      <c r="AT213" s="18" t="s">
        <v>0</v>
      </c>
      <c r="AU213" s="18" t="s">
        <v>0</v>
      </c>
      <c r="AV213" s="18">
        <v>88</v>
      </c>
      <c r="AW213" s="18">
        <v>13</v>
      </c>
      <c r="AX213" s="17">
        <v>0</v>
      </c>
      <c r="AY213" s="17">
        <v>4</v>
      </c>
      <c r="AZ213" s="17">
        <v>5</v>
      </c>
      <c r="BA213" s="17">
        <v>5</v>
      </c>
      <c r="BB213" s="18" t="s">
        <v>319</v>
      </c>
      <c r="BC213" s="18">
        <v>1</v>
      </c>
      <c r="BD213" s="18" t="s">
        <v>0</v>
      </c>
      <c r="BE213" s="18">
        <v>1</v>
      </c>
      <c r="BF213" s="18" t="s">
        <v>0</v>
      </c>
    </row>
    <row r="214" spans="1:58" s="68" customFormat="1" ht="18.75" customHeight="1">
      <c r="A214" s="17" t="s">
        <v>260</v>
      </c>
      <c r="B214" s="17">
        <v>30091945</v>
      </c>
      <c r="C214" s="17" t="s">
        <v>1132</v>
      </c>
      <c r="D214" s="17" t="s">
        <v>1133</v>
      </c>
      <c r="E214" s="17" t="s">
        <v>1134</v>
      </c>
      <c r="F214" s="19" t="s">
        <v>1135</v>
      </c>
      <c r="G214" s="19" t="s">
        <v>80</v>
      </c>
      <c r="H214" s="17" t="s">
        <v>713</v>
      </c>
      <c r="I214" s="19" t="s">
        <v>76</v>
      </c>
      <c r="J214" s="17" t="s">
        <v>62</v>
      </c>
      <c r="K214" s="19" t="s">
        <v>63</v>
      </c>
      <c r="L214" s="17" t="s">
        <v>78</v>
      </c>
      <c r="M214" s="17" t="s">
        <v>60</v>
      </c>
      <c r="N214" s="17" t="s">
        <v>373</v>
      </c>
      <c r="O214" s="17">
        <v>1012</v>
      </c>
      <c r="P214" s="17" t="s">
        <v>104</v>
      </c>
      <c r="Q214" s="20">
        <f>'[1]FEBE Academics 2024'!R211</f>
        <v>30688</v>
      </c>
      <c r="R214" s="21">
        <f ca="1">YEARFRAC(Q214,TODAY())</f>
        <v>42.577777777777776</v>
      </c>
      <c r="S214" s="20">
        <f>EDATE(Q214,12*65)</f>
        <v>54430</v>
      </c>
      <c r="T214" s="17">
        <v>30010866</v>
      </c>
      <c r="U214" s="17" t="s">
        <v>265</v>
      </c>
      <c r="V214" s="17" t="s">
        <v>266</v>
      </c>
      <c r="W214" s="17" t="s">
        <v>267</v>
      </c>
      <c r="X214" s="34" t="s">
        <v>707</v>
      </c>
      <c r="Y214" s="23">
        <v>46015</v>
      </c>
      <c r="Z214" s="34" t="s">
        <v>0</v>
      </c>
      <c r="AA214" s="34">
        <v>2019</v>
      </c>
      <c r="AB214" s="34">
        <v>2025</v>
      </c>
      <c r="AC214" s="34" t="s">
        <v>473</v>
      </c>
      <c r="AD214" s="34" t="s">
        <v>0</v>
      </c>
      <c r="AE214" s="18" t="s">
        <v>0</v>
      </c>
      <c r="AF214" s="18" t="s">
        <v>0</v>
      </c>
      <c r="AG214" s="18" t="s">
        <v>0</v>
      </c>
      <c r="AH214" s="17" t="s">
        <v>0</v>
      </c>
      <c r="AI214" s="17" t="s">
        <v>0</v>
      </c>
      <c r="AJ214" s="22">
        <v>0.5</v>
      </c>
      <c r="AK214" s="22">
        <v>0</v>
      </c>
      <c r="AL214" s="22">
        <v>0</v>
      </c>
      <c r="AM214" s="22">
        <v>0.3</v>
      </c>
      <c r="AN214" s="203"/>
      <c r="AO214" s="17" t="s">
        <v>0</v>
      </c>
      <c r="AP214" s="17" t="s">
        <v>0</v>
      </c>
      <c r="AQ214" s="62"/>
      <c r="AR214" s="18" t="s">
        <v>1270</v>
      </c>
      <c r="AS214" s="18" t="s">
        <v>0</v>
      </c>
      <c r="AT214" s="18" t="s">
        <v>0</v>
      </c>
      <c r="AU214" s="18" t="s">
        <v>0</v>
      </c>
      <c r="AV214" s="18">
        <v>39</v>
      </c>
      <c r="AW214" s="18">
        <v>0</v>
      </c>
      <c r="AX214" s="17">
        <v>0</v>
      </c>
      <c r="AY214" s="17">
        <v>4</v>
      </c>
      <c r="AZ214" s="17">
        <v>4</v>
      </c>
      <c r="BA214" s="17">
        <v>4</v>
      </c>
      <c r="BB214" s="18" t="s">
        <v>1136</v>
      </c>
      <c r="BC214" s="18" t="s">
        <v>0</v>
      </c>
      <c r="BD214" s="18" t="s">
        <v>0</v>
      </c>
      <c r="BE214" s="18" t="s">
        <v>0</v>
      </c>
      <c r="BF214" s="18" t="s">
        <v>0</v>
      </c>
    </row>
    <row r="215" spans="1:58" s="68" customFormat="1" ht="18.75" customHeight="1">
      <c r="A215" s="17" t="s">
        <v>54</v>
      </c>
      <c r="B215" s="17">
        <v>30095523</v>
      </c>
      <c r="C215" s="17" t="s">
        <v>1127</v>
      </c>
      <c r="D215" s="17" t="s">
        <v>1128</v>
      </c>
      <c r="E215" s="17" t="s">
        <v>1129</v>
      </c>
      <c r="F215" s="19" t="s">
        <v>120</v>
      </c>
      <c r="G215" s="19" t="s">
        <v>74</v>
      </c>
      <c r="H215" s="17" t="s">
        <v>60</v>
      </c>
      <c r="I215" s="19" t="s">
        <v>76</v>
      </c>
      <c r="J215" s="17" t="s">
        <v>62</v>
      </c>
      <c r="K215" s="19" t="s">
        <v>63</v>
      </c>
      <c r="L215" s="17" t="s">
        <v>78</v>
      </c>
      <c r="M215" s="17" t="s">
        <v>60</v>
      </c>
      <c r="N215" s="17" t="s">
        <v>65</v>
      </c>
      <c r="O215" s="17">
        <v>594</v>
      </c>
      <c r="P215" s="17" t="s">
        <v>170</v>
      </c>
      <c r="Q215" s="20">
        <f>'[1]FEBE Academics 2024'!R212</f>
        <v>32926</v>
      </c>
      <c r="R215" s="21">
        <f ca="1">YEARFRAC(Q215,TODAY())</f>
        <v>36.452777777777776</v>
      </c>
      <c r="S215" s="20">
        <f>EDATE(Q215,12*65)</f>
        <v>56667</v>
      </c>
      <c r="T215" s="17">
        <v>30007204</v>
      </c>
      <c r="U215" s="17" t="s">
        <v>59</v>
      </c>
      <c r="V215" s="17" t="s">
        <v>66</v>
      </c>
      <c r="W215" s="17" t="s">
        <v>67</v>
      </c>
      <c r="X215" s="22" t="s">
        <v>1130</v>
      </c>
      <c r="Y215" s="153">
        <v>2022</v>
      </c>
      <c r="Z215" s="22" t="s">
        <v>1131</v>
      </c>
      <c r="AA215" s="34">
        <v>2024</v>
      </c>
      <c r="AB215" s="34">
        <v>2027</v>
      </c>
      <c r="AC215" s="34" t="s">
        <v>809</v>
      </c>
      <c r="AD215" s="34" t="s">
        <v>0</v>
      </c>
      <c r="AE215" s="17" t="s">
        <v>0</v>
      </c>
      <c r="AF215" s="17" t="s">
        <v>0</v>
      </c>
      <c r="AG215" s="17" t="s">
        <v>0</v>
      </c>
      <c r="AH215" s="17" t="s">
        <v>0</v>
      </c>
      <c r="AI215" s="17" t="s">
        <v>0</v>
      </c>
      <c r="AJ215" s="22">
        <v>0.5</v>
      </c>
      <c r="AK215" s="22">
        <v>0</v>
      </c>
      <c r="AL215" s="22">
        <v>0</v>
      </c>
      <c r="AM215" s="43">
        <v>0.33329999999999999</v>
      </c>
      <c r="AN215" s="154">
        <v>0.16669999999999999</v>
      </c>
      <c r="AO215" s="17"/>
      <c r="AP215" s="17" t="s">
        <v>0</v>
      </c>
      <c r="AQ215" s="62"/>
      <c r="AR215" s="18" t="s">
        <v>1270</v>
      </c>
      <c r="AS215" s="17" t="s">
        <v>0</v>
      </c>
      <c r="AT215" s="17" t="s">
        <v>0</v>
      </c>
      <c r="AU215" s="17" t="s">
        <v>0</v>
      </c>
      <c r="AV215" s="17" t="s">
        <v>0</v>
      </c>
      <c r="AW215" s="18">
        <v>0</v>
      </c>
      <c r="AX215" s="17">
        <v>12</v>
      </c>
      <c r="AY215" s="17" t="s">
        <v>0</v>
      </c>
      <c r="AZ215" s="17">
        <v>0</v>
      </c>
      <c r="BA215" s="17">
        <v>2</v>
      </c>
      <c r="BB215" s="17" t="s">
        <v>0</v>
      </c>
      <c r="BC215" s="17" t="s">
        <v>0</v>
      </c>
      <c r="BD215" s="17" t="s">
        <v>0</v>
      </c>
      <c r="BE215" s="17" t="s">
        <v>0</v>
      </c>
      <c r="BF215" s="17" t="s">
        <v>0</v>
      </c>
    </row>
    <row r="216" spans="1:58" s="68" customFormat="1" ht="18.75" customHeight="1">
      <c r="A216" s="17" t="s">
        <v>69</v>
      </c>
      <c r="B216" s="17">
        <v>30086400</v>
      </c>
      <c r="C216" s="17" t="s">
        <v>920</v>
      </c>
      <c r="D216" s="17" t="s">
        <v>921</v>
      </c>
      <c r="E216" s="17" t="s">
        <v>922</v>
      </c>
      <c r="F216" s="19" t="s">
        <v>901</v>
      </c>
      <c r="G216" s="19" t="s">
        <v>80</v>
      </c>
      <c r="H216" s="17" t="s">
        <v>60</v>
      </c>
      <c r="I216" s="19" t="s">
        <v>61</v>
      </c>
      <c r="J216" s="17" t="s">
        <v>62</v>
      </c>
      <c r="K216" s="19" t="s">
        <v>63</v>
      </c>
      <c r="L216" s="17" t="s">
        <v>64</v>
      </c>
      <c r="M216" s="17" t="s">
        <v>60</v>
      </c>
      <c r="N216" s="17" t="s">
        <v>65</v>
      </c>
      <c r="O216" s="17">
        <v>2080</v>
      </c>
      <c r="P216" s="17" t="s">
        <v>153</v>
      </c>
      <c r="Q216" s="20">
        <f>'[1]FEBE Academics 2024'!R214</f>
        <v>31885</v>
      </c>
      <c r="R216" s="21">
        <f ca="1">YEARFRAC(Q216,TODAY())</f>
        <v>39.297222222222224</v>
      </c>
      <c r="S216" s="20">
        <f>EDATE(Q216,12*65)</f>
        <v>55627</v>
      </c>
      <c r="T216" s="17">
        <v>30000294</v>
      </c>
      <c r="U216" s="17" t="s">
        <v>80</v>
      </c>
      <c r="V216" s="17" t="s">
        <v>81</v>
      </c>
      <c r="W216" s="17" t="s">
        <v>82</v>
      </c>
      <c r="X216" s="22" t="s">
        <v>154</v>
      </c>
      <c r="Y216" s="23">
        <v>45891</v>
      </c>
      <c r="Z216" s="34" t="s">
        <v>0</v>
      </c>
      <c r="AA216" s="34" t="s">
        <v>0</v>
      </c>
      <c r="AB216" s="34" t="s">
        <v>0</v>
      </c>
      <c r="AC216" s="34" t="s">
        <v>0</v>
      </c>
      <c r="AD216" s="34" t="s">
        <v>0</v>
      </c>
      <c r="AE216" s="18" t="s">
        <v>0</v>
      </c>
      <c r="AF216" s="18" t="s">
        <v>923</v>
      </c>
      <c r="AG216" s="18" t="s">
        <v>0</v>
      </c>
      <c r="AH216" s="17" t="s">
        <v>0</v>
      </c>
      <c r="AI216" s="17" t="s">
        <v>0</v>
      </c>
      <c r="AJ216" s="22">
        <v>0.5</v>
      </c>
      <c r="AK216" s="22">
        <v>0</v>
      </c>
      <c r="AL216" s="22">
        <v>0.5</v>
      </c>
      <c r="AM216" s="39">
        <f>0.5+0.3333+0.3333+0.1667</f>
        <v>1.3332999999999999</v>
      </c>
      <c r="AN216" s="17">
        <v>0.87499999999999989</v>
      </c>
      <c r="AO216" s="17" t="s">
        <v>0</v>
      </c>
      <c r="AP216" s="17" t="s">
        <v>0</v>
      </c>
      <c r="AQ216" s="39"/>
      <c r="AR216" s="18" t="s">
        <v>1270</v>
      </c>
      <c r="AS216" s="18" t="s">
        <v>0</v>
      </c>
      <c r="AT216" s="18" t="s">
        <v>0</v>
      </c>
      <c r="AU216" s="18" t="s">
        <v>0</v>
      </c>
      <c r="AV216" s="18">
        <v>5</v>
      </c>
      <c r="AW216" s="18">
        <v>0</v>
      </c>
      <c r="AX216" s="17">
        <v>3</v>
      </c>
      <c r="AY216" s="17">
        <v>2</v>
      </c>
      <c r="AZ216" s="17">
        <v>2</v>
      </c>
      <c r="BA216" s="17">
        <v>3</v>
      </c>
      <c r="BB216" s="18" t="s">
        <v>924</v>
      </c>
      <c r="BC216" s="18" t="s">
        <v>0</v>
      </c>
      <c r="BD216" s="18" t="s">
        <v>0</v>
      </c>
      <c r="BE216" s="18" t="s">
        <v>0</v>
      </c>
      <c r="BF216" s="18" t="s">
        <v>0</v>
      </c>
    </row>
    <row r="217" spans="1:58" s="68" customFormat="1" ht="18.75" customHeight="1">
      <c r="A217" s="17" t="s">
        <v>95</v>
      </c>
      <c r="B217" s="17">
        <v>30084001</v>
      </c>
      <c r="C217" s="35" t="s">
        <v>289</v>
      </c>
      <c r="D217" s="17" t="s">
        <v>290</v>
      </c>
      <c r="E217" s="17" t="s">
        <v>291</v>
      </c>
      <c r="F217" s="19" t="s">
        <v>292</v>
      </c>
      <c r="G217" s="19" t="s">
        <v>74</v>
      </c>
      <c r="H217" s="17" t="s">
        <v>258</v>
      </c>
      <c r="I217" s="19" t="s">
        <v>76</v>
      </c>
      <c r="J217" s="17" t="s">
        <v>62</v>
      </c>
      <c r="K217" s="19" t="s">
        <v>120</v>
      </c>
      <c r="L217" s="17" t="s">
        <v>222</v>
      </c>
      <c r="M217" s="17" t="s">
        <v>258</v>
      </c>
      <c r="N217" s="17" t="s">
        <v>281</v>
      </c>
      <c r="O217" s="17">
        <v>3010</v>
      </c>
      <c r="P217" s="17" t="s">
        <v>293</v>
      </c>
      <c r="Q217" s="37"/>
      <c r="R217" s="38"/>
      <c r="S217" s="37"/>
      <c r="T217" s="17">
        <v>30110521</v>
      </c>
      <c r="U217" s="17" t="s">
        <v>105</v>
      </c>
      <c r="V217" s="17" t="s">
        <v>106</v>
      </c>
      <c r="W217" s="17" t="s">
        <v>107</v>
      </c>
      <c r="X217" s="22" t="s">
        <v>230</v>
      </c>
      <c r="Y217" s="60">
        <v>36892</v>
      </c>
      <c r="Z217" s="22" t="s">
        <v>0</v>
      </c>
      <c r="AA217" s="22" t="s">
        <v>0</v>
      </c>
      <c r="AB217" s="22" t="s">
        <v>0</v>
      </c>
      <c r="AC217" s="22" t="s">
        <v>0</v>
      </c>
      <c r="AD217" s="22" t="s">
        <v>0</v>
      </c>
      <c r="AE217" s="17" t="s">
        <v>0</v>
      </c>
      <c r="AF217" s="17" t="s">
        <v>0</v>
      </c>
      <c r="AG217" s="17" t="s">
        <v>0</v>
      </c>
      <c r="AH217" s="17" t="s">
        <v>0</v>
      </c>
      <c r="AI217" s="17" t="s">
        <v>0</v>
      </c>
      <c r="AJ217" s="22">
        <v>0.25</v>
      </c>
      <c r="AK217" s="22">
        <v>0</v>
      </c>
      <c r="AL217" s="22">
        <v>0</v>
      </c>
      <c r="AM217" s="22">
        <v>0</v>
      </c>
      <c r="AN217" s="22"/>
      <c r="AO217" s="17" t="s">
        <v>0</v>
      </c>
      <c r="AP217" s="17" t="s">
        <v>0</v>
      </c>
      <c r="AQ217" s="18" t="s">
        <v>1270</v>
      </c>
      <c r="AR217" s="18"/>
      <c r="AS217" s="17" t="s">
        <v>0</v>
      </c>
      <c r="AT217" s="17" t="s">
        <v>0</v>
      </c>
      <c r="AU217" s="17" t="s">
        <v>0</v>
      </c>
      <c r="AV217" s="17" t="s">
        <v>0</v>
      </c>
      <c r="AW217" s="18">
        <v>0</v>
      </c>
      <c r="AX217" s="17">
        <v>0</v>
      </c>
      <c r="AY217" s="17" t="s">
        <v>0</v>
      </c>
      <c r="AZ217" s="17">
        <v>0</v>
      </c>
      <c r="BA217" s="17">
        <v>0</v>
      </c>
      <c r="BB217" s="17" t="s">
        <v>0</v>
      </c>
      <c r="BC217" s="17" t="s">
        <v>0</v>
      </c>
      <c r="BD217" s="17" t="s">
        <v>0</v>
      </c>
      <c r="BE217" s="17" t="s">
        <v>0</v>
      </c>
      <c r="BF217" s="17" t="s">
        <v>0</v>
      </c>
    </row>
    <row r="218" spans="1:58" s="68" customFormat="1" ht="18.75" customHeight="1">
      <c r="A218" s="27" t="s">
        <v>115</v>
      </c>
      <c r="B218" s="27">
        <v>30102053</v>
      </c>
      <c r="C218" s="27" t="s">
        <v>376</v>
      </c>
      <c r="D218" s="27" t="s">
        <v>377</v>
      </c>
      <c r="E218" s="27" t="s">
        <v>378</v>
      </c>
      <c r="F218" s="29" t="s">
        <v>379</v>
      </c>
      <c r="G218" s="29" t="s">
        <v>80</v>
      </c>
      <c r="H218" s="27" t="s">
        <v>60</v>
      </c>
      <c r="I218" s="29" t="s">
        <v>76</v>
      </c>
      <c r="J218" s="27" t="s">
        <v>62</v>
      </c>
      <c r="K218" s="29" t="s">
        <v>63</v>
      </c>
      <c r="L218" s="27" t="s">
        <v>78</v>
      </c>
      <c r="M218" s="27" t="s">
        <v>60</v>
      </c>
      <c r="N218" s="39" t="s">
        <v>65</v>
      </c>
      <c r="O218" s="39">
        <v>110</v>
      </c>
      <c r="P218" s="39" t="s">
        <v>380</v>
      </c>
      <c r="Q218" s="85">
        <f>'[1]FEBE Academics 2024'!R216</f>
        <v>28337</v>
      </c>
      <c r="R218" s="86">
        <f ca="1">YEARFRAC(Q218,TODAY())</f>
        <v>49.013888888888886</v>
      </c>
      <c r="S218" s="85">
        <f>EDATE(Q218,12*65)</f>
        <v>52078</v>
      </c>
      <c r="T218" s="39">
        <v>30097178</v>
      </c>
      <c r="U218" s="39" t="s">
        <v>105</v>
      </c>
      <c r="V218" s="39" t="s">
        <v>66</v>
      </c>
      <c r="W218" s="39" t="s">
        <v>123</v>
      </c>
      <c r="X218" s="43" t="s">
        <v>142</v>
      </c>
      <c r="Y218" s="87">
        <v>45764</v>
      </c>
      <c r="Z218" s="43" t="s">
        <v>0</v>
      </c>
      <c r="AA218" s="43" t="s">
        <v>0</v>
      </c>
      <c r="AB218" s="43" t="s">
        <v>0</v>
      </c>
      <c r="AC218" s="43" t="s">
        <v>0</v>
      </c>
      <c r="AD218" s="43" t="s">
        <v>0</v>
      </c>
      <c r="AE218" s="39" t="s">
        <v>0</v>
      </c>
      <c r="AF218" s="39" t="s">
        <v>0</v>
      </c>
      <c r="AG218" s="39" t="s">
        <v>0</v>
      </c>
      <c r="AH218" s="39" t="s">
        <v>0</v>
      </c>
      <c r="AI218" s="39" t="s">
        <v>0</v>
      </c>
      <c r="AJ218" s="43">
        <v>0.5</v>
      </c>
      <c r="AK218" s="43">
        <v>0</v>
      </c>
      <c r="AL218" s="43">
        <v>0</v>
      </c>
      <c r="AM218" s="88">
        <v>0</v>
      </c>
      <c r="AN218" s="61">
        <v>0.5</v>
      </c>
      <c r="AO218" s="39" t="s">
        <v>0</v>
      </c>
      <c r="AP218" s="39" t="s">
        <v>0</v>
      </c>
      <c r="AQ218" s="18" t="s">
        <v>1270</v>
      </c>
      <c r="AR218" s="18" t="s">
        <v>1270</v>
      </c>
      <c r="AS218" s="39" t="s">
        <v>0</v>
      </c>
      <c r="AT218" s="39" t="s">
        <v>0</v>
      </c>
      <c r="AU218" s="39" t="s">
        <v>0</v>
      </c>
      <c r="AV218" s="39" t="s">
        <v>0</v>
      </c>
      <c r="AW218" s="18">
        <v>0</v>
      </c>
      <c r="AX218" s="17">
        <v>0</v>
      </c>
      <c r="AY218" s="17" t="s">
        <v>0</v>
      </c>
      <c r="AZ218" s="17">
        <v>0</v>
      </c>
      <c r="BA218" s="39">
        <v>0</v>
      </c>
      <c r="BB218" s="39" t="s">
        <v>0</v>
      </c>
      <c r="BC218" s="39" t="s">
        <v>0</v>
      </c>
      <c r="BD218" s="39" t="s">
        <v>0</v>
      </c>
      <c r="BE218" s="39" t="s">
        <v>0</v>
      </c>
      <c r="BF218" s="39" t="s">
        <v>0</v>
      </c>
    </row>
    <row r="219" spans="1:58" s="68" customFormat="1" ht="18.75" customHeight="1">
      <c r="A219" s="27" t="s">
        <v>54</v>
      </c>
      <c r="B219" s="27">
        <v>30080104</v>
      </c>
      <c r="C219" s="103" t="s">
        <v>929</v>
      </c>
      <c r="D219" s="27" t="s">
        <v>930</v>
      </c>
      <c r="E219" s="27" t="s">
        <v>931</v>
      </c>
      <c r="F219" s="29" t="s">
        <v>932</v>
      </c>
      <c r="G219" s="29" t="s">
        <v>80</v>
      </c>
      <c r="H219" s="27" t="s">
        <v>933</v>
      </c>
      <c r="I219" s="29" t="s">
        <v>76</v>
      </c>
      <c r="J219" s="27" t="s">
        <v>62</v>
      </c>
      <c r="K219" s="29" t="s">
        <v>120</v>
      </c>
      <c r="L219" s="27" t="s">
        <v>78</v>
      </c>
      <c r="M219" s="27" t="s">
        <v>60</v>
      </c>
      <c r="N219" s="27" t="s">
        <v>281</v>
      </c>
      <c r="O219" s="27">
        <v>1012</v>
      </c>
      <c r="P219" s="27" t="s">
        <v>104</v>
      </c>
      <c r="Q219" s="30">
        <f>'[1]FEBE Academics 2024'!R217</f>
        <v>24199</v>
      </c>
      <c r="R219" s="31">
        <f ca="1">YEARFRAC(Q219,TODAY())</f>
        <v>60.341666666666669</v>
      </c>
      <c r="S219" s="30">
        <f>EDATE(Q219,12*65)</f>
        <v>47940</v>
      </c>
      <c r="T219" s="27">
        <v>30007204</v>
      </c>
      <c r="U219" s="27" t="s">
        <v>59</v>
      </c>
      <c r="V219" s="27" t="s">
        <v>66</v>
      </c>
      <c r="W219" s="27" t="s">
        <v>67</v>
      </c>
      <c r="X219" s="32" t="s">
        <v>934</v>
      </c>
      <c r="Y219" s="33">
        <v>45731</v>
      </c>
      <c r="Z219" s="32" t="s">
        <v>0</v>
      </c>
      <c r="AA219" s="142" t="s">
        <v>0</v>
      </c>
      <c r="AB219" s="142" t="s">
        <v>0</v>
      </c>
      <c r="AC219" s="142" t="s">
        <v>0</v>
      </c>
      <c r="AD219" s="142" t="s">
        <v>0</v>
      </c>
      <c r="AE219" s="62" t="s">
        <v>0</v>
      </c>
      <c r="AF219" s="62" t="s">
        <v>0</v>
      </c>
      <c r="AG219" s="62" t="s">
        <v>0</v>
      </c>
      <c r="AH219" s="62" t="s">
        <v>0</v>
      </c>
      <c r="AI219" s="62" t="s">
        <v>0</v>
      </c>
      <c r="AJ219" s="142">
        <v>0.5</v>
      </c>
      <c r="AK219" s="142">
        <v>0</v>
      </c>
      <c r="AL219" s="142">
        <v>0.55000000000000004</v>
      </c>
      <c r="AM219" s="143">
        <v>0.2</v>
      </c>
      <c r="AN219" s="36"/>
      <c r="AO219" s="62" t="s">
        <v>0</v>
      </c>
      <c r="AP219" s="62" t="s">
        <v>0</v>
      </c>
      <c r="AQ219" s="195"/>
      <c r="AR219" s="18" t="s">
        <v>1270</v>
      </c>
      <c r="AS219" s="62" t="s">
        <v>0</v>
      </c>
      <c r="AT219" s="62" t="s">
        <v>0</v>
      </c>
      <c r="AU219" s="62" t="s">
        <v>0</v>
      </c>
      <c r="AV219" s="62" t="s">
        <v>0</v>
      </c>
      <c r="AW219" s="39">
        <v>0</v>
      </c>
      <c r="AX219" s="17">
        <v>2</v>
      </c>
      <c r="AY219" s="17" t="s">
        <v>0</v>
      </c>
      <c r="AZ219" s="17">
        <v>0</v>
      </c>
      <c r="BA219" s="62">
        <v>5</v>
      </c>
      <c r="BB219" s="62" t="s">
        <v>0</v>
      </c>
      <c r="BC219" s="62" t="s">
        <v>0</v>
      </c>
      <c r="BD219" s="62" t="s">
        <v>0</v>
      </c>
      <c r="BE219" s="62" t="s">
        <v>0</v>
      </c>
      <c r="BF219" s="62" t="s">
        <v>0</v>
      </c>
    </row>
    <row r="220" spans="1:58" s="68" customFormat="1" ht="18.75" customHeight="1">
      <c r="A220" s="17" t="s">
        <v>69</v>
      </c>
      <c r="B220" s="17">
        <v>30106147</v>
      </c>
      <c r="C220" s="35" t="s">
        <v>935</v>
      </c>
      <c r="D220" s="17" t="s">
        <v>936</v>
      </c>
      <c r="E220" s="17" t="s">
        <v>937</v>
      </c>
      <c r="F220" s="19" t="s">
        <v>901</v>
      </c>
      <c r="G220" s="19" t="s">
        <v>59</v>
      </c>
      <c r="H220" s="17" t="s">
        <v>60</v>
      </c>
      <c r="I220" s="19" t="s">
        <v>61</v>
      </c>
      <c r="J220" s="17" t="s">
        <v>62</v>
      </c>
      <c r="K220" s="19" t="s">
        <v>63</v>
      </c>
      <c r="L220" s="17" t="s">
        <v>78</v>
      </c>
      <c r="M220" s="17" t="s">
        <v>258</v>
      </c>
      <c r="N220" s="17" t="s">
        <v>65</v>
      </c>
      <c r="O220" s="17" t="s">
        <v>0</v>
      </c>
      <c r="P220" s="17" t="s">
        <v>0</v>
      </c>
      <c r="Q220" s="37"/>
      <c r="R220" s="38"/>
      <c r="S220" s="37"/>
      <c r="T220" s="17">
        <v>30000294</v>
      </c>
      <c r="U220" s="17" t="s">
        <v>80</v>
      </c>
      <c r="V220" s="17" t="s">
        <v>81</v>
      </c>
      <c r="W220" s="17" t="s">
        <v>82</v>
      </c>
      <c r="X220" s="144" t="s">
        <v>938</v>
      </c>
      <c r="Y220" s="59" t="s">
        <v>0</v>
      </c>
      <c r="Z220" s="22" t="s">
        <v>83</v>
      </c>
      <c r="AA220" s="22" t="s">
        <v>0</v>
      </c>
      <c r="AB220" s="22">
        <v>2025</v>
      </c>
      <c r="AC220" s="22" t="s">
        <v>0</v>
      </c>
      <c r="AD220" s="22" t="s">
        <v>0</v>
      </c>
      <c r="AE220" s="17" t="s">
        <v>0</v>
      </c>
      <c r="AF220" s="17" t="s">
        <v>0</v>
      </c>
      <c r="AG220" s="17" t="s">
        <v>0</v>
      </c>
      <c r="AH220" s="17" t="s">
        <v>0</v>
      </c>
      <c r="AI220" s="17" t="s">
        <v>0</v>
      </c>
      <c r="AJ220" s="22">
        <v>0.5</v>
      </c>
      <c r="AK220" s="22">
        <v>0</v>
      </c>
      <c r="AL220" s="22">
        <v>0</v>
      </c>
      <c r="AM220" s="39">
        <f>0.25+0.1667</f>
        <v>0.41669999999999996</v>
      </c>
      <c r="AN220" s="17"/>
      <c r="AO220" s="17" t="s">
        <v>0</v>
      </c>
      <c r="AP220" s="17" t="s">
        <v>0</v>
      </c>
      <c r="AQ220" s="39"/>
      <c r="AR220" s="18" t="s">
        <v>1270</v>
      </c>
      <c r="AS220" s="17" t="s">
        <v>0</v>
      </c>
      <c r="AT220" s="17" t="s">
        <v>0</v>
      </c>
      <c r="AU220" s="17" t="s">
        <v>0</v>
      </c>
      <c r="AV220" s="17" t="s">
        <v>0</v>
      </c>
      <c r="AW220" s="17">
        <v>0</v>
      </c>
      <c r="AX220" s="17">
        <v>3</v>
      </c>
      <c r="AY220" s="17" t="s">
        <v>0</v>
      </c>
      <c r="AZ220" s="17">
        <v>0</v>
      </c>
      <c r="BA220" s="17">
        <v>2</v>
      </c>
      <c r="BB220" s="17" t="s">
        <v>0</v>
      </c>
      <c r="BC220" s="17" t="s">
        <v>0</v>
      </c>
      <c r="BD220" s="17" t="s">
        <v>0</v>
      </c>
      <c r="BE220" s="17" t="s">
        <v>0</v>
      </c>
      <c r="BF220" s="17" t="s">
        <v>0</v>
      </c>
    </row>
    <row r="221" spans="1:58" s="68" customFormat="1" ht="18.75" customHeight="1">
      <c r="A221" s="27" t="s">
        <v>135</v>
      </c>
      <c r="B221" s="27">
        <v>30016372</v>
      </c>
      <c r="C221" s="27" t="s">
        <v>386</v>
      </c>
      <c r="D221" s="27" t="s">
        <v>387</v>
      </c>
      <c r="E221" s="27" t="s">
        <v>388</v>
      </c>
      <c r="F221" s="29" t="s">
        <v>389</v>
      </c>
      <c r="G221" s="29" t="s">
        <v>80</v>
      </c>
      <c r="H221" s="27" t="s">
        <v>253</v>
      </c>
      <c r="I221" s="29" t="s">
        <v>76</v>
      </c>
      <c r="J221" s="27" t="s">
        <v>62</v>
      </c>
      <c r="K221" s="29" t="s">
        <v>63</v>
      </c>
      <c r="L221" s="27" t="s">
        <v>78</v>
      </c>
      <c r="M221" s="27" t="s">
        <v>60</v>
      </c>
      <c r="N221" s="27" t="s">
        <v>65</v>
      </c>
      <c r="O221" s="27">
        <v>531</v>
      </c>
      <c r="P221" s="27" t="s">
        <v>213</v>
      </c>
      <c r="Q221" s="30">
        <f>'[1]FEBE Academics 2024'!R220</f>
        <v>26092</v>
      </c>
      <c r="R221" s="31">
        <f ca="1">YEARFRAC(Q221,TODAY())</f>
        <v>55.158333333333331</v>
      </c>
      <c r="S221" s="30">
        <f>EDATE(Q221,12*65)</f>
        <v>49834</v>
      </c>
      <c r="T221" s="27">
        <v>30015698</v>
      </c>
      <c r="U221" s="27" t="s">
        <v>190</v>
      </c>
      <c r="V221" s="27" t="s">
        <v>191</v>
      </c>
      <c r="W221" s="27" t="s">
        <v>192</v>
      </c>
      <c r="X221" s="32" t="s">
        <v>142</v>
      </c>
      <c r="Y221" s="33">
        <v>46014</v>
      </c>
      <c r="Z221" s="32" t="s">
        <v>0</v>
      </c>
      <c r="AA221" s="32" t="s">
        <v>0</v>
      </c>
      <c r="AB221" s="43" t="s">
        <v>0</v>
      </c>
      <c r="AC221" s="43" t="s">
        <v>0</v>
      </c>
      <c r="AD221" s="43" t="s">
        <v>0</v>
      </c>
      <c r="AE221" s="39" t="s">
        <v>0</v>
      </c>
      <c r="AF221" s="39" t="s">
        <v>0</v>
      </c>
      <c r="AG221" s="39" t="s">
        <v>0</v>
      </c>
      <c r="AH221" s="39" t="s">
        <v>0</v>
      </c>
      <c r="AI221" s="39" t="s">
        <v>0</v>
      </c>
      <c r="AJ221" s="43">
        <v>0.5</v>
      </c>
      <c r="AK221" s="43">
        <v>0</v>
      </c>
      <c r="AL221" s="43">
        <v>0</v>
      </c>
      <c r="AM221" s="43">
        <v>0</v>
      </c>
      <c r="AN221" s="22"/>
      <c r="AO221" s="39" t="s">
        <v>0</v>
      </c>
      <c r="AP221" s="39" t="s">
        <v>0</v>
      </c>
      <c r="AQ221" s="18" t="s">
        <v>1270</v>
      </c>
      <c r="AR221" s="18" t="s">
        <v>1270</v>
      </c>
      <c r="AS221" s="39" t="s">
        <v>0</v>
      </c>
      <c r="AT221" s="39" t="s">
        <v>0</v>
      </c>
      <c r="AU221" s="39" t="s">
        <v>0</v>
      </c>
      <c r="AV221" s="39" t="s">
        <v>0</v>
      </c>
      <c r="AW221" s="18">
        <v>0</v>
      </c>
      <c r="AX221" s="17">
        <v>0</v>
      </c>
      <c r="AY221" s="17" t="s">
        <v>0</v>
      </c>
      <c r="AZ221" s="17">
        <v>0</v>
      </c>
      <c r="BA221" s="39">
        <v>0</v>
      </c>
      <c r="BB221" s="39" t="s">
        <v>94</v>
      </c>
      <c r="BC221" s="39" t="s">
        <v>0</v>
      </c>
      <c r="BD221" s="39" t="s">
        <v>0</v>
      </c>
      <c r="BE221" s="39" t="s">
        <v>0</v>
      </c>
      <c r="BF221" s="39" t="s">
        <v>0</v>
      </c>
    </row>
    <row r="222" spans="1:58" s="185" customFormat="1" ht="18.75" customHeight="1">
      <c r="A222" s="17" t="s">
        <v>260</v>
      </c>
      <c r="B222" s="17">
        <v>30079604</v>
      </c>
      <c r="C222" s="17" t="s">
        <v>717</v>
      </c>
      <c r="D222" s="17" t="s">
        <v>718</v>
      </c>
      <c r="E222" s="17" t="s">
        <v>719</v>
      </c>
      <c r="F222" s="19" t="s">
        <v>720</v>
      </c>
      <c r="G222" s="19" t="s">
        <v>80</v>
      </c>
      <c r="H222" s="17" t="s">
        <v>60</v>
      </c>
      <c r="I222" s="19" t="s">
        <v>61</v>
      </c>
      <c r="J222" s="17" t="s">
        <v>101</v>
      </c>
      <c r="K222" s="19" t="s">
        <v>63</v>
      </c>
      <c r="L222" s="17" t="s">
        <v>78</v>
      </c>
      <c r="M222" s="17" t="s">
        <v>60</v>
      </c>
      <c r="N222" s="17" t="s">
        <v>65</v>
      </c>
      <c r="O222" s="17">
        <v>1012</v>
      </c>
      <c r="P222" s="17" t="s">
        <v>104</v>
      </c>
      <c r="Q222" s="20">
        <f>'[1]FEBE Academics 2024'!R221</f>
        <v>27493</v>
      </c>
      <c r="R222" s="21">
        <f ca="1">YEARFRAC(Q222,TODAY())</f>
        <v>51.322222222222223</v>
      </c>
      <c r="S222" s="20">
        <f>EDATE(Q222,12*65)</f>
        <v>51235</v>
      </c>
      <c r="T222" s="17">
        <v>30010866</v>
      </c>
      <c r="U222" s="17" t="s">
        <v>265</v>
      </c>
      <c r="V222" s="17" t="s">
        <v>266</v>
      </c>
      <c r="W222" s="17" t="s">
        <v>267</v>
      </c>
      <c r="X222" s="22" t="s">
        <v>108</v>
      </c>
      <c r="Y222" s="23">
        <v>45920</v>
      </c>
      <c r="Z222" s="22" t="s">
        <v>0</v>
      </c>
      <c r="AA222" s="22" t="s">
        <v>0</v>
      </c>
      <c r="AB222" s="22" t="s">
        <v>0</v>
      </c>
      <c r="AC222" s="22" t="s">
        <v>0</v>
      </c>
      <c r="AD222" s="22" t="s">
        <v>0</v>
      </c>
      <c r="AE222" s="17" t="s">
        <v>0</v>
      </c>
      <c r="AF222" s="17" t="s">
        <v>0</v>
      </c>
      <c r="AG222" s="17" t="s">
        <v>0</v>
      </c>
      <c r="AH222" s="17" t="s">
        <v>0</v>
      </c>
      <c r="AI222" s="17" t="s">
        <v>0</v>
      </c>
      <c r="AJ222" s="22">
        <v>0.5</v>
      </c>
      <c r="AK222" s="36">
        <v>0.33</v>
      </c>
      <c r="AL222" s="22">
        <v>0.17</v>
      </c>
      <c r="AM222" s="43">
        <v>0.25</v>
      </c>
      <c r="AN222" s="204">
        <f>SUM(AK222:AM222)</f>
        <v>0.75</v>
      </c>
      <c r="AO222" s="17" t="s">
        <v>0</v>
      </c>
      <c r="AP222" s="17" t="s">
        <v>0</v>
      </c>
      <c r="AQ222" s="18" t="s">
        <v>1270</v>
      </c>
      <c r="AR222" s="18" t="s">
        <v>1270</v>
      </c>
      <c r="AS222" s="17" t="s">
        <v>0</v>
      </c>
      <c r="AT222" s="17" t="s">
        <v>0</v>
      </c>
      <c r="AU222" s="17" t="s">
        <v>0</v>
      </c>
      <c r="AV222" s="18">
        <v>0</v>
      </c>
      <c r="AW222" s="18">
        <v>0</v>
      </c>
      <c r="AX222" s="17">
        <v>0</v>
      </c>
      <c r="AY222" s="17">
        <v>0</v>
      </c>
      <c r="AZ222" s="17">
        <v>0</v>
      </c>
      <c r="BA222" s="17">
        <v>0</v>
      </c>
      <c r="BB222" s="18" t="s">
        <v>721</v>
      </c>
      <c r="BC222" s="17" t="s">
        <v>0</v>
      </c>
      <c r="BD222" s="17" t="s">
        <v>0</v>
      </c>
      <c r="BE222" s="17">
        <v>2</v>
      </c>
      <c r="BF222" s="17" t="s">
        <v>0</v>
      </c>
    </row>
    <row r="223" spans="1:58" s="68" customFormat="1" ht="18.75" customHeight="1">
      <c r="A223" s="147" t="s">
        <v>115</v>
      </c>
      <c r="B223" s="27">
        <v>30087059</v>
      </c>
      <c r="C223" s="27" t="s">
        <v>1011</v>
      </c>
      <c r="D223" s="27" t="s">
        <v>1012</v>
      </c>
      <c r="E223" s="27" t="s">
        <v>1013</v>
      </c>
      <c r="F223" s="29" t="s">
        <v>1014</v>
      </c>
      <c r="G223" s="29" t="s">
        <v>59</v>
      </c>
      <c r="H223" s="27" t="s">
        <v>258</v>
      </c>
      <c r="I223" s="29" t="s">
        <v>61</v>
      </c>
      <c r="J223" s="27" t="s">
        <v>101</v>
      </c>
      <c r="K223" s="29" t="s">
        <v>120</v>
      </c>
      <c r="L223" s="27" t="s">
        <v>78</v>
      </c>
      <c r="M223" s="27" t="s">
        <v>121</v>
      </c>
      <c r="N223" s="27" t="s">
        <v>65</v>
      </c>
      <c r="O223" s="27"/>
      <c r="P223" s="27"/>
      <c r="Q223" s="44">
        <v>32570</v>
      </c>
      <c r="R223" s="27"/>
      <c r="S223" s="27"/>
      <c r="T223" s="27">
        <v>30097178</v>
      </c>
      <c r="U223" s="27" t="s">
        <v>105</v>
      </c>
      <c r="V223" s="27" t="s">
        <v>66</v>
      </c>
      <c r="W223" s="27" t="s">
        <v>123</v>
      </c>
      <c r="X223" s="27" t="s">
        <v>1015</v>
      </c>
      <c r="Y223" s="42">
        <v>40909</v>
      </c>
      <c r="Z223" s="27"/>
      <c r="AA223" s="27"/>
      <c r="AB223" s="27"/>
      <c r="AC223" s="27"/>
      <c r="AD223" s="27"/>
      <c r="AE223" s="27"/>
      <c r="AF223" s="27"/>
      <c r="AG223" s="27"/>
      <c r="AH223" s="27"/>
      <c r="AI223" s="27"/>
      <c r="AJ223" s="27"/>
      <c r="AK223" s="27"/>
      <c r="AL223" s="27"/>
      <c r="AM223" s="27"/>
      <c r="AN223" s="17"/>
      <c r="AO223" s="27"/>
      <c r="AP223" s="27"/>
      <c r="AQ223" s="170"/>
      <c r="AR223" s="18" t="s">
        <v>1270</v>
      </c>
      <c r="AS223" s="27"/>
      <c r="AT223" s="27"/>
      <c r="AU223" s="27"/>
      <c r="AV223" s="27"/>
      <c r="AW223" s="27"/>
      <c r="AX223" s="27"/>
      <c r="AY223" s="27"/>
      <c r="AZ223" s="27"/>
      <c r="BA223" s="27"/>
      <c r="BB223" s="27"/>
      <c r="BC223" s="27"/>
      <c r="BD223" s="27"/>
      <c r="BE223" s="27"/>
      <c r="BF223" s="27"/>
    </row>
    <row r="224" spans="1:58" ht="18.75" customHeight="1">
      <c r="A224" s="39" t="s">
        <v>95</v>
      </c>
      <c r="B224" s="39">
        <v>30084641</v>
      </c>
      <c r="C224" s="39" t="s">
        <v>1172</v>
      </c>
      <c r="D224" s="39" t="s">
        <v>1173</v>
      </c>
      <c r="E224" s="39" t="s">
        <v>1174</v>
      </c>
      <c r="F224" s="94" t="s">
        <v>1175</v>
      </c>
      <c r="G224" s="94" t="s">
        <v>74</v>
      </c>
      <c r="H224" s="39" t="s">
        <v>1176</v>
      </c>
      <c r="I224" s="94" t="s">
        <v>76</v>
      </c>
      <c r="J224" s="39" t="s">
        <v>62</v>
      </c>
      <c r="K224" s="94" t="s">
        <v>120</v>
      </c>
      <c r="L224" s="39" t="s">
        <v>78</v>
      </c>
      <c r="M224" s="39" t="s">
        <v>1176</v>
      </c>
      <c r="N224" s="39" t="s">
        <v>65</v>
      </c>
      <c r="O224" s="39" t="s">
        <v>0</v>
      </c>
      <c r="P224" s="39" t="s">
        <v>0</v>
      </c>
      <c r="Q224" s="85">
        <f>'[1]FEBE Academics 2024'!R110</f>
        <v>33377</v>
      </c>
      <c r="R224" s="86">
        <f ca="1">YEARFRAC(Q224,TODAY())</f>
        <v>35.211111111111109</v>
      </c>
      <c r="S224" s="85">
        <f>EDATE(Q224,12*65)</f>
        <v>57119</v>
      </c>
      <c r="T224" s="39">
        <v>30110521</v>
      </c>
      <c r="U224" s="39" t="s">
        <v>105</v>
      </c>
      <c r="V224" s="39" t="s">
        <v>106</v>
      </c>
      <c r="W224" s="39" t="s">
        <v>107</v>
      </c>
      <c r="X224" s="43" t="s">
        <v>591</v>
      </c>
      <c r="Y224" s="87">
        <v>45886</v>
      </c>
      <c r="Z224" s="145" t="s">
        <v>1177</v>
      </c>
      <c r="AA224" s="43" t="s">
        <v>0</v>
      </c>
      <c r="AB224" s="43">
        <v>2024</v>
      </c>
      <c r="AC224" s="43" t="s">
        <v>473</v>
      </c>
      <c r="AD224" s="43" t="s">
        <v>0</v>
      </c>
      <c r="AE224" s="39" t="s">
        <v>0</v>
      </c>
      <c r="AF224" s="39" t="s">
        <v>0</v>
      </c>
      <c r="AG224" s="39" t="s">
        <v>0</v>
      </c>
      <c r="AH224" s="39" t="s">
        <v>0</v>
      </c>
      <c r="AI224" s="39" t="s">
        <v>0</v>
      </c>
      <c r="AJ224" s="43">
        <v>0.5</v>
      </c>
      <c r="AK224" s="43">
        <v>0</v>
      </c>
      <c r="AL224" s="43">
        <v>0</v>
      </c>
      <c r="AM224" s="43">
        <v>0</v>
      </c>
      <c r="AN224" s="22"/>
      <c r="AO224" s="39" t="s">
        <v>0</v>
      </c>
      <c r="AP224" s="39" t="s">
        <v>0</v>
      </c>
      <c r="AQ224" s="62"/>
      <c r="AR224" s="18" t="s">
        <v>1270</v>
      </c>
      <c r="AS224" s="39" t="s">
        <v>0</v>
      </c>
      <c r="AT224" s="39" t="s">
        <v>0</v>
      </c>
      <c r="AU224" s="39" t="s">
        <v>0</v>
      </c>
      <c r="AV224" s="39" t="s">
        <v>0</v>
      </c>
      <c r="AW224" s="18" t="s">
        <v>0</v>
      </c>
      <c r="AX224" s="17">
        <v>0</v>
      </c>
      <c r="AY224" s="17" t="s">
        <v>0</v>
      </c>
      <c r="AZ224" s="17" t="s">
        <v>0</v>
      </c>
      <c r="BA224" s="39">
        <v>4</v>
      </c>
      <c r="BB224" s="39" t="s">
        <v>94</v>
      </c>
      <c r="BC224" s="39" t="s">
        <v>0</v>
      </c>
      <c r="BD224" s="39" t="s">
        <v>0</v>
      </c>
      <c r="BE224" s="39" t="s">
        <v>0</v>
      </c>
      <c r="BF224" s="39" t="s">
        <v>0</v>
      </c>
    </row>
    <row r="225" spans="1:58" ht="18.75" customHeight="1">
      <c r="A225" s="17" t="s">
        <v>135</v>
      </c>
      <c r="B225" s="17">
        <v>30093205</v>
      </c>
      <c r="C225" s="18" t="s">
        <v>660</v>
      </c>
      <c r="D225" s="17" t="s">
        <v>661</v>
      </c>
      <c r="E225" s="17" t="s">
        <v>662</v>
      </c>
      <c r="F225" s="19" t="s">
        <v>434</v>
      </c>
      <c r="G225" s="19" t="s">
        <v>80</v>
      </c>
      <c r="H225" s="17" t="s">
        <v>253</v>
      </c>
      <c r="I225" s="19" t="s">
        <v>76</v>
      </c>
      <c r="J225" s="17" t="s">
        <v>101</v>
      </c>
      <c r="K225" s="19" t="s">
        <v>63</v>
      </c>
      <c r="L225" s="17" t="s">
        <v>78</v>
      </c>
      <c r="M225" s="17" t="s">
        <v>60</v>
      </c>
      <c r="N225" s="17" t="s">
        <v>65</v>
      </c>
      <c r="O225" s="17">
        <v>531</v>
      </c>
      <c r="P225" s="17" t="s">
        <v>213</v>
      </c>
      <c r="Q225" s="20">
        <f>'[1]FEBE Academics 2024'!R223</f>
        <v>31398</v>
      </c>
      <c r="R225" s="21">
        <f ca="1">YEARFRAC(Q225,TODAY())</f>
        <v>40.633333333333333</v>
      </c>
      <c r="S225" s="20">
        <f>EDATE(Q225,12*65)</f>
        <v>55139</v>
      </c>
      <c r="T225" s="17">
        <v>30015698</v>
      </c>
      <c r="U225" s="17" t="s">
        <v>190</v>
      </c>
      <c r="V225" s="17" t="s">
        <v>191</v>
      </c>
      <c r="W225" s="17" t="s">
        <v>192</v>
      </c>
      <c r="X225" s="116" t="s">
        <v>663</v>
      </c>
      <c r="Y225" s="117">
        <v>45843</v>
      </c>
      <c r="Z225" s="34" t="s">
        <v>0</v>
      </c>
      <c r="AA225" s="34" t="s">
        <v>0</v>
      </c>
      <c r="AB225" s="34" t="s">
        <v>0</v>
      </c>
      <c r="AC225" s="34" t="s">
        <v>0</v>
      </c>
      <c r="AD225" s="34" t="s">
        <v>0</v>
      </c>
      <c r="AE225" s="118">
        <v>45015</v>
      </c>
      <c r="AF225" s="119" t="s">
        <v>664</v>
      </c>
      <c r="AG225" s="66" t="s">
        <v>665</v>
      </c>
      <c r="AH225" s="120" t="s">
        <v>0</v>
      </c>
      <c r="AI225" s="17" t="s">
        <v>0</v>
      </c>
      <c r="AJ225" s="22">
        <v>0.5</v>
      </c>
      <c r="AK225" s="36">
        <v>0.33</v>
      </c>
      <c r="AL225" s="22">
        <v>0</v>
      </c>
      <c r="AM225" s="78">
        <f>0.3333+0.3333</f>
        <v>0.66659999999999997</v>
      </c>
      <c r="AN225" s="48">
        <v>0.41669999999999996</v>
      </c>
      <c r="AO225" s="120" t="s">
        <v>274</v>
      </c>
      <c r="AP225" s="120" t="s">
        <v>0</v>
      </c>
      <c r="AQ225" s="18" t="s">
        <v>1270</v>
      </c>
      <c r="AR225" s="66" t="s">
        <v>275</v>
      </c>
      <c r="AS225" s="66" t="s">
        <v>0</v>
      </c>
      <c r="AT225" s="66" t="s">
        <v>0</v>
      </c>
      <c r="AU225" s="66" t="s">
        <v>0</v>
      </c>
      <c r="AV225" s="66">
        <v>44</v>
      </c>
      <c r="AW225" s="18">
        <v>38</v>
      </c>
      <c r="AX225" s="17">
        <v>18</v>
      </c>
      <c r="AY225" s="17">
        <v>4</v>
      </c>
      <c r="AZ225" s="17">
        <v>4</v>
      </c>
      <c r="BA225" s="17">
        <v>5</v>
      </c>
      <c r="BB225" s="18" t="s">
        <v>666</v>
      </c>
      <c r="BC225" s="18" t="s">
        <v>0</v>
      </c>
      <c r="BD225" s="18" t="s">
        <v>0</v>
      </c>
      <c r="BE225" s="18">
        <v>1</v>
      </c>
      <c r="BF225" s="18" t="s">
        <v>0</v>
      </c>
    </row>
    <row r="226" spans="1:58" ht="18.75" customHeight="1">
      <c r="A226" s="17" t="s">
        <v>69</v>
      </c>
      <c r="B226" s="17">
        <v>30017833</v>
      </c>
      <c r="C226" s="17" t="s">
        <v>574</v>
      </c>
      <c r="D226" s="17" t="s">
        <v>575</v>
      </c>
      <c r="E226" s="17" t="s">
        <v>576</v>
      </c>
      <c r="F226" s="19" t="s">
        <v>577</v>
      </c>
      <c r="G226" s="19" t="s">
        <v>74</v>
      </c>
      <c r="H226" s="17" t="s">
        <v>60</v>
      </c>
      <c r="I226" s="19" t="s">
        <v>76</v>
      </c>
      <c r="J226" s="17" t="s">
        <v>77</v>
      </c>
      <c r="K226" s="19" t="s">
        <v>63</v>
      </c>
      <c r="L226" s="17" t="s">
        <v>64</v>
      </c>
      <c r="M226" s="17" t="s">
        <v>60</v>
      </c>
      <c r="N226" s="17" t="s">
        <v>65</v>
      </c>
      <c r="O226" s="17">
        <v>2010</v>
      </c>
      <c r="P226" s="17" t="s">
        <v>91</v>
      </c>
      <c r="Q226" s="20">
        <f>'[1]FEBE Academics 2024'!R224</f>
        <v>27456</v>
      </c>
      <c r="R226" s="21">
        <f ca="1">YEARFRAC(Q226,TODAY())</f>
        <v>51.422222222222224</v>
      </c>
      <c r="S226" s="20">
        <f>EDATE(Q226,12*65)</f>
        <v>51198</v>
      </c>
      <c r="T226" s="17">
        <v>30000294</v>
      </c>
      <c r="U226" s="17" t="s">
        <v>80</v>
      </c>
      <c r="V226" s="17" t="s">
        <v>81</v>
      </c>
      <c r="W226" s="17" t="s">
        <v>82</v>
      </c>
      <c r="X226" s="22" t="s">
        <v>312</v>
      </c>
      <c r="Y226" s="23">
        <v>45994</v>
      </c>
      <c r="Z226" s="34" t="s">
        <v>0</v>
      </c>
      <c r="AA226" s="34" t="s">
        <v>0</v>
      </c>
      <c r="AB226" s="34" t="s">
        <v>0</v>
      </c>
      <c r="AC226" s="34" t="s">
        <v>0</v>
      </c>
      <c r="AD226" s="34" t="s">
        <v>0</v>
      </c>
      <c r="AE226" s="18" t="s">
        <v>0</v>
      </c>
      <c r="AF226" s="18" t="s">
        <v>0</v>
      </c>
      <c r="AG226" s="18" t="s">
        <v>0</v>
      </c>
      <c r="AH226" s="17" t="s">
        <v>0</v>
      </c>
      <c r="AI226" s="17" t="s">
        <v>0</v>
      </c>
      <c r="AJ226" s="22">
        <v>0.5</v>
      </c>
      <c r="AK226" s="22">
        <v>0</v>
      </c>
      <c r="AL226" s="22">
        <v>0</v>
      </c>
      <c r="AM226" s="18">
        <v>0</v>
      </c>
      <c r="AN226" s="17"/>
      <c r="AO226" s="17" t="s">
        <v>0</v>
      </c>
      <c r="AP226" s="17" t="s">
        <v>0</v>
      </c>
      <c r="AQ226" s="18" t="s">
        <v>1270</v>
      </c>
      <c r="AR226" s="18" t="s">
        <v>1270</v>
      </c>
      <c r="AS226" s="18" t="s">
        <v>0</v>
      </c>
      <c r="AT226" s="18" t="s">
        <v>0</v>
      </c>
      <c r="AU226" s="18" t="s">
        <v>0</v>
      </c>
      <c r="AV226" s="18" t="s">
        <v>0</v>
      </c>
      <c r="AW226" s="18">
        <v>0</v>
      </c>
      <c r="AX226" s="17">
        <v>0</v>
      </c>
      <c r="AY226" s="17" t="s">
        <v>0</v>
      </c>
      <c r="AZ226" s="17">
        <v>0</v>
      </c>
      <c r="BA226" s="17">
        <v>0</v>
      </c>
      <c r="BB226" s="18" t="s">
        <v>0</v>
      </c>
      <c r="BC226" s="18" t="s">
        <v>0</v>
      </c>
      <c r="BD226" s="18" t="s">
        <v>0</v>
      </c>
      <c r="BE226" s="18" t="s">
        <v>0</v>
      </c>
      <c r="BF226" s="18" t="s">
        <v>0</v>
      </c>
    </row>
    <row r="227" spans="1:58" ht="18.75" customHeight="1">
      <c r="A227" s="27" t="s">
        <v>217</v>
      </c>
      <c r="B227" s="27">
        <v>30104729</v>
      </c>
      <c r="C227" s="103" t="s">
        <v>1003</v>
      </c>
      <c r="D227" s="27" t="s">
        <v>1004</v>
      </c>
      <c r="E227" s="27" t="s">
        <v>1005</v>
      </c>
      <c r="F227" s="29" t="s">
        <v>63</v>
      </c>
      <c r="G227" s="29" t="s">
        <v>74</v>
      </c>
      <c r="H227" s="27" t="s">
        <v>814</v>
      </c>
      <c r="I227" s="29" t="s">
        <v>76</v>
      </c>
      <c r="J227" s="27" t="s">
        <v>62</v>
      </c>
      <c r="K227" s="29" t="s">
        <v>63</v>
      </c>
      <c r="L227" s="27" t="s">
        <v>222</v>
      </c>
      <c r="M227" s="27" t="s">
        <v>60</v>
      </c>
      <c r="N227" s="27" t="s">
        <v>65</v>
      </c>
      <c r="O227" s="27">
        <v>3020</v>
      </c>
      <c r="P227" s="27" t="s">
        <v>299</v>
      </c>
      <c r="Q227" s="30">
        <f>'[1]FEBE Academics 2024'!R225</f>
        <v>31667</v>
      </c>
      <c r="R227" s="31">
        <f ca="1">YEARFRAC(Q227,TODAY())</f>
        <v>39.897222222222226</v>
      </c>
      <c r="S227" s="30">
        <f>EDATE(Q227,12*65)</f>
        <v>55408</v>
      </c>
      <c r="T227" s="27">
        <v>30007939</v>
      </c>
      <c r="U227" s="27" t="s">
        <v>74</v>
      </c>
      <c r="V227" s="27" t="s">
        <v>223</v>
      </c>
      <c r="W227" s="27" t="s">
        <v>224</v>
      </c>
      <c r="X227" s="32" t="s">
        <v>1006</v>
      </c>
      <c r="Y227" s="33">
        <v>45980</v>
      </c>
      <c r="Z227" s="32" t="s">
        <v>0</v>
      </c>
      <c r="AA227" s="32" t="s">
        <v>0</v>
      </c>
      <c r="AB227" s="32" t="s">
        <v>0</v>
      </c>
      <c r="AC227" s="32" t="s">
        <v>0</v>
      </c>
      <c r="AD227" s="32" t="s">
        <v>0</v>
      </c>
      <c r="AE227" s="27" t="s">
        <v>0</v>
      </c>
      <c r="AF227" s="27" t="s">
        <v>0</v>
      </c>
      <c r="AG227" s="27" t="s">
        <v>0</v>
      </c>
      <c r="AH227" s="27" t="s">
        <v>0</v>
      </c>
      <c r="AI227" s="27" t="s">
        <v>0</v>
      </c>
      <c r="AJ227" s="32">
        <v>0.5</v>
      </c>
      <c r="AK227" s="32">
        <v>0</v>
      </c>
      <c r="AL227" s="32">
        <v>0</v>
      </c>
      <c r="AM227" s="27">
        <v>0</v>
      </c>
      <c r="AN227" s="17"/>
      <c r="AO227" s="27" t="s">
        <v>0</v>
      </c>
      <c r="AP227" s="27" t="s">
        <v>0</v>
      </c>
      <c r="AQ227" s="27"/>
      <c r="AR227" s="18" t="s">
        <v>1270</v>
      </c>
      <c r="AS227" s="27" t="s">
        <v>0</v>
      </c>
      <c r="AT227" s="27" t="s">
        <v>0</v>
      </c>
      <c r="AU227" s="27" t="s">
        <v>0</v>
      </c>
      <c r="AV227" s="27" t="s">
        <v>0</v>
      </c>
      <c r="AW227" s="27">
        <v>0</v>
      </c>
      <c r="AX227" s="27">
        <v>0</v>
      </c>
      <c r="AY227" s="27" t="s">
        <v>0</v>
      </c>
      <c r="AZ227" s="27">
        <v>0</v>
      </c>
      <c r="BA227" s="27">
        <v>0</v>
      </c>
      <c r="BB227" s="27" t="s">
        <v>0</v>
      </c>
      <c r="BC227" s="27" t="s">
        <v>0</v>
      </c>
      <c r="BD227" s="27" t="s">
        <v>0</v>
      </c>
      <c r="BE227" s="27" t="s">
        <v>0</v>
      </c>
      <c r="BF227" s="27" t="s">
        <v>0</v>
      </c>
    </row>
    <row r="228" spans="1:58" ht="18.75" customHeight="1">
      <c r="A228" s="27" t="s">
        <v>115</v>
      </c>
      <c r="B228" s="27">
        <v>30084659</v>
      </c>
      <c r="C228" s="27" t="s">
        <v>402</v>
      </c>
      <c r="D228" s="27" t="s">
        <v>403</v>
      </c>
      <c r="E228" s="27" t="s">
        <v>404</v>
      </c>
      <c r="F228" s="29" t="s">
        <v>405</v>
      </c>
      <c r="G228" s="29" t="s">
        <v>59</v>
      </c>
      <c r="H228" s="27" t="s">
        <v>258</v>
      </c>
      <c r="I228" s="29" t="s">
        <v>61</v>
      </c>
      <c r="J228" s="27" t="s">
        <v>101</v>
      </c>
      <c r="K228" s="29" t="s">
        <v>63</v>
      </c>
      <c r="L228" s="27" t="s">
        <v>78</v>
      </c>
      <c r="M228" s="27" t="s">
        <v>258</v>
      </c>
      <c r="N228" s="17" t="s">
        <v>65</v>
      </c>
      <c r="O228" s="17">
        <v>110</v>
      </c>
      <c r="P228" s="17" t="s">
        <v>380</v>
      </c>
      <c r="Q228" s="20">
        <f>'[1]FEBE Academics 2024'!R226</f>
        <v>29502</v>
      </c>
      <c r="R228" s="21">
        <f ca="1">YEARFRAC(Q228,TODAY())</f>
        <v>45.825000000000003</v>
      </c>
      <c r="S228" s="20">
        <f>EDATE(Q228,12*65)</f>
        <v>53243</v>
      </c>
      <c r="T228" s="17">
        <v>30097178</v>
      </c>
      <c r="U228" s="17" t="s">
        <v>105</v>
      </c>
      <c r="V228" s="17" t="s">
        <v>66</v>
      </c>
      <c r="W228" s="17" t="s">
        <v>123</v>
      </c>
      <c r="X228" s="22" t="s">
        <v>147</v>
      </c>
      <c r="Y228" s="23">
        <v>45739</v>
      </c>
      <c r="Z228" s="22" t="s">
        <v>0</v>
      </c>
      <c r="AA228" s="22" t="s">
        <v>0</v>
      </c>
      <c r="AB228" s="22" t="s">
        <v>0</v>
      </c>
      <c r="AC228" s="22" t="s">
        <v>0</v>
      </c>
      <c r="AD228" s="22" t="s">
        <v>0</v>
      </c>
      <c r="AE228" s="17" t="s">
        <v>0</v>
      </c>
      <c r="AF228" s="17" t="s">
        <v>0</v>
      </c>
      <c r="AG228" s="17" t="s">
        <v>0</v>
      </c>
      <c r="AH228" s="17" t="s">
        <v>0</v>
      </c>
      <c r="AI228" s="17" t="s">
        <v>0</v>
      </c>
      <c r="AJ228" s="22">
        <v>0.25</v>
      </c>
      <c r="AK228" s="22">
        <v>0</v>
      </c>
      <c r="AL228" s="22">
        <v>0</v>
      </c>
      <c r="AM228" s="25">
        <v>0</v>
      </c>
      <c r="AN228" s="25"/>
      <c r="AO228" s="17" t="s">
        <v>0</v>
      </c>
      <c r="AP228" s="17" t="s">
        <v>0</v>
      </c>
      <c r="AQ228" s="18" t="s">
        <v>1270</v>
      </c>
      <c r="AR228" s="18" t="s">
        <v>1270</v>
      </c>
      <c r="AS228" s="17" t="s">
        <v>0</v>
      </c>
      <c r="AT228" s="17" t="s">
        <v>0</v>
      </c>
      <c r="AU228" s="17" t="s">
        <v>0</v>
      </c>
      <c r="AV228" s="17" t="s">
        <v>0</v>
      </c>
      <c r="AW228" s="18">
        <v>0</v>
      </c>
      <c r="AX228" s="17">
        <v>0</v>
      </c>
      <c r="AY228" s="17" t="s">
        <v>0</v>
      </c>
      <c r="AZ228" s="17">
        <v>0</v>
      </c>
      <c r="BA228" s="17">
        <v>0</v>
      </c>
      <c r="BB228" s="17" t="s">
        <v>0</v>
      </c>
      <c r="BC228" s="17" t="s">
        <v>0</v>
      </c>
      <c r="BD228" s="17" t="s">
        <v>0</v>
      </c>
      <c r="BE228" s="17" t="s">
        <v>0</v>
      </c>
      <c r="BF228" s="17" t="s">
        <v>0</v>
      </c>
    </row>
    <row r="229" spans="1:58" ht="18.75" customHeight="1">
      <c r="A229" s="27" t="s">
        <v>69</v>
      </c>
      <c r="B229" s="27">
        <v>30094435</v>
      </c>
      <c r="C229" s="27" t="s">
        <v>70</v>
      </c>
      <c r="D229" s="27" t="s">
        <v>71</v>
      </c>
      <c r="E229" s="27" t="s">
        <v>72</v>
      </c>
      <c r="F229" s="29" t="s">
        <v>73</v>
      </c>
      <c r="G229" s="29" t="s">
        <v>74</v>
      </c>
      <c r="H229" s="27" t="s">
        <v>75</v>
      </c>
      <c r="I229" s="29" t="s">
        <v>76</v>
      </c>
      <c r="J229" s="27" t="s">
        <v>77</v>
      </c>
      <c r="K229" s="29" t="s">
        <v>63</v>
      </c>
      <c r="L229" s="27" t="s">
        <v>78</v>
      </c>
      <c r="M229" s="27" t="s">
        <v>60</v>
      </c>
      <c r="N229" s="27" t="s">
        <v>65</v>
      </c>
      <c r="O229" s="27">
        <v>580</v>
      </c>
      <c r="P229" s="27" t="s">
        <v>79</v>
      </c>
      <c r="Q229" s="30">
        <f>'[1]FEBE Academics 2024'!R228</f>
        <v>33634</v>
      </c>
      <c r="R229" s="31">
        <f ca="1">YEARFRAC(Q229,TODAY())</f>
        <v>34.513888888888886</v>
      </c>
      <c r="S229" s="30">
        <f>EDATE(Q229,12*65)</f>
        <v>57376</v>
      </c>
      <c r="T229" s="27">
        <v>30000294</v>
      </c>
      <c r="U229" s="27" t="s">
        <v>80</v>
      </c>
      <c r="V229" s="27" t="s">
        <v>81</v>
      </c>
      <c r="W229" s="27" t="s">
        <v>82</v>
      </c>
      <c r="X229" s="32" t="s">
        <v>83</v>
      </c>
      <c r="Y229" s="33" t="s">
        <v>0</v>
      </c>
      <c r="Z229" s="32" t="s">
        <v>84</v>
      </c>
      <c r="AA229" s="32">
        <v>2018</v>
      </c>
      <c r="AB229" s="32">
        <v>2024</v>
      </c>
      <c r="AC229" s="32" t="s">
        <v>85</v>
      </c>
      <c r="AD229" s="32" t="s">
        <v>0</v>
      </c>
      <c r="AE229" s="27" t="s">
        <v>0</v>
      </c>
      <c r="AF229" s="27" t="s">
        <v>0</v>
      </c>
      <c r="AG229" s="27" t="s">
        <v>0</v>
      </c>
      <c r="AH229" s="27" t="s">
        <v>0</v>
      </c>
      <c r="AI229" s="27" t="s">
        <v>0</v>
      </c>
      <c r="AJ229" s="32">
        <v>0.5</v>
      </c>
      <c r="AK229" s="32">
        <v>0</v>
      </c>
      <c r="AL229" s="32">
        <v>0</v>
      </c>
      <c r="AM229" s="27">
        <v>0</v>
      </c>
      <c r="AN229" s="17"/>
      <c r="AO229" s="27" t="s">
        <v>0</v>
      </c>
      <c r="AP229" s="27" t="s">
        <v>0</v>
      </c>
      <c r="AQ229" s="18" t="s">
        <v>1270</v>
      </c>
      <c r="AR229" s="18"/>
      <c r="AS229" s="27" t="s">
        <v>0</v>
      </c>
      <c r="AT229" s="27" t="s">
        <v>0</v>
      </c>
      <c r="AU229" s="27" t="s">
        <v>0</v>
      </c>
      <c r="AV229" s="27" t="s">
        <v>0</v>
      </c>
      <c r="AW229" s="27">
        <v>0</v>
      </c>
      <c r="AX229" s="27">
        <v>0</v>
      </c>
      <c r="AY229" s="27" t="s">
        <v>0</v>
      </c>
      <c r="AZ229" s="27">
        <v>1</v>
      </c>
      <c r="BA229" s="27">
        <v>1</v>
      </c>
      <c r="BB229" s="27" t="s">
        <v>0</v>
      </c>
      <c r="BC229" s="27" t="s">
        <v>0</v>
      </c>
      <c r="BD229" s="27" t="s">
        <v>0</v>
      </c>
      <c r="BE229" s="27" t="s">
        <v>0</v>
      </c>
      <c r="BF229" s="27" t="s">
        <v>0</v>
      </c>
    </row>
    <row r="230" spans="1:58" ht="18.75" customHeight="1">
      <c r="A230" s="17" t="s">
        <v>95</v>
      </c>
      <c r="B230" s="17">
        <v>30018330</v>
      </c>
      <c r="C230" s="193" t="s">
        <v>1027</v>
      </c>
      <c r="D230" s="17" t="s">
        <v>1028</v>
      </c>
      <c r="E230" s="17" t="s">
        <v>1029</v>
      </c>
      <c r="F230" s="19" t="s">
        <v>1014</v>
      </c>
      <c r="G230" s="19" t="s">
        <v>80</v>
      </c>
      <c r="H230" s="17" t="s">
        <v>102</v>
      </c>
      <c r="I230" s="19" t="s">
        <v>61</v>
      </c>
      <c r="J230" s="17" t="s">
        <v>101</v>
      </c>
      <c r="K230" s="19" t="s">
        <v>63</v>
      </c>
      <c r="L230" s="17" t="s">
        <v>78</v>
      </c>
      <c r="M230" s="17" t="s">
        <v>102</v>
      </c>
      <c r="N230" s="17" t="s">
        <v>65</v>
      </c>
      <c r="O230" s="17">
        <v>1012</v>
      </c>
      <c r="P230" s="17" t="s">
        <v>104</v>
      </c>
      <c r="Q230" s="20">
        <v>25727</v>
      </c>
      <c r="R230" s="21">
        <f ca="1">YEARFRAC(Q230,TODAY())</f>
        <v>56.158333333333331</v>
      </c>
      <c r="S230" s="20">
        <f>EDATE(Q230,12*65)</f>
        <v>49468</v>
      </c>
      <c r="T230" s="17">
        <v>30110521</v>
      </c>
      <c r="U230" s="17" t="s">
        <v>105</v>
      </c>
      <c r="V230" s="17" t="s">
        <v>106</v>
      </c>
      <c r="W230" s="17" t="s">
        <v>107</v>
      </c>
      <c r="X230" s="22" t="s">
        <v>108</v>
      </c>
      <c r="Y230" s="23">
        <v>45731</v>
      </c>
      <c r="Z230" s="34" t="s">
        <v>0</v>
      </c>
      <c r="AA230" s="34" t="s">
        <v>0</v>
      </c>
      <c r="AB230" s="34" t="s">
        <v>0</v>
      </c>
      <c r="AC230" s="34" t="s">
        <v>0</v>
      </c>
      <c r="AD230" s="34" t="s">
        <v>0</v>
      </c>
      <c r="AE230" s="18" t="s">
        <v>0</v>
      </c>
      <c r="AF230" s="18" t="s">
        <v>0</v>
      </c>
      <c r="AG230" s="18" t="s">
        <v>0</v>
      </c>
      <c r="AH230" s="17" t="s">
        <v>0</v>
      </c>
      <c r="AI230" s="17" t="s">
        <v>0</v>
      </c>
      <c r="AJ230" s="22">
        <v>1</v>
      </c>
      <c r="AK230" s="22">
        <v>0</v>
      </c>
      <c r="AL230" s="22">
        <v>0</v>
      </c>
      <c r="AM230" s="32">
        <v>0</v>
      </c>
      <c r="AN230" s="22"/>
      <c r="AO230" s="17" t="s">
        <v>0</v>
      </c>
      <c r="AP230" s="17" t="s">
        <v>0</v>
      </c>
      <c r="AQ230" s="62"/>
      <c r="AR230" s="18" t="s">
        <v>1270</v>
      </c>
      <c r="AS230" s="18" t="s">
        <v>0</v>
      </c>
      <c r="AT230" s="18" t="s">
        <v>0</v>
      </c>
      <c r="AU230" s="18" t="s">
        <v>0</v>
      </c>
      <c r="AV230" s="18" t="s">
        <v>0</v>
      </c>
      <c r="AW230" s="18">
        <v>0</v>
      </c>
      <c r="AX230" s="17">
        <v>0</v>
      </c>
      <c r="AY230" s="17" t="s">
        <v>0</v>
      </c>
      <c r="AZ230" s="17">
        <v>0</v>
      </c>
      <c r="BA230" s="17">
        <v>0</v>
      </c>
      <c r="BB230" s="18" t="s">
        <v>1030</v>
      </c>
      <c r="BC230" s="18" t="s">
        <v>0</v>
      </c>
      <c r="BD230" s="18" t="s">
        <v>0</v>
      </c>
      <c r="BE230" s="18">
        <v>1</v>
      </c>
      <c r="BF230" s="18" t="s">
        <v>0</v>
      </c>
    </row>
    <row r="231" spans="1:58" ht="18.75" customHeight="1">
      <c r="A231" s="27" t="s">
        <v>217</v>
      </c>
      <c r="B231" s="198">
        <v>30111621</v>
      </c>
      <c r="C231" s="200" t="s">
        <v>607</v>
      </c>
      <c r="D231" s="202" t="s">
        <v>608</v>
      </c>
      <c r="E231" s="27" t="s">
        <v>609</v>
      </c>
      <c r="F231" s="29" t="s">
        <v>577</v>
      </c>
      <c r="G231" s="29" t="s">
        <v>74</v>
      </c>
      <c r="H231" s="27" t="s">
        <v>258</v>
      </c>
      <c r="I231" s="29" t="s">
        <v>76</v>
      </c>
      <c r="J231" s="27" t="s">
        <v>77</v>
      </c>
      <c r="K231" s="29" t="s">
        <v>63</v>
      </c>
      <c r="L231" s="27" t="s">
        <v>222</v>
      </c>
      <c r="M231" s="27" t="s">
        <v>112</v>
      </c>
      <c r="N231" s="27" t="s">
        <v>122</v>
      </c>
      <c r="O231" s="27"/>
      <c r="P231" s="27"/>
      <c r="Q231" s="41">
        <v>23310</v>
      </c>
      <c r="R231" s="27"/>
      <c r="S231" s="27"/>
      <c r="T231" s="27">
        <v>30007939</v>
      </c>
      <c r="U231" s="27" t="s">
        <v>74</v>
      </c>
      <c r="V231" s="27" t="s">
        <v>223</v>
      </c>
      <c r="W231" s="27" t="s">
        <v>224</v>
      </c>
      <c r="X231" s="27" t="s">
        <v>610</v>
      </c>
      <c r="Y231" s="42">
        <v>31413</v>
      </c>
      <c r="Z231" s="27"/>
      <c r="AA231" s="27"/>
      <c r="AB231" s="27"/>
      <c r="AC231" s="27"/>
      <c r="AD231" s="27"/>
      <c r="AE231" s="27"/>
      <c r="AF231" s="27"/>
      <c r="AG231" s="27"/>
      <c r="AH231" s="27"/>
      <c r="AI231" s="27"/>
      <c r="AJ231" s="27"/>
      <c r="AK231" s="27"/>
      <c r="AL231" s="27"/>
      <c r="AM231" s="27"/>
      <c r="AN231" s="17"/>
      <c r="AO231" s="27"/>
      <c r="AP231" s="27"/>
      <c r="AQ231" s="18" t="s">
        <v>1270</v>
      </c>
      <c r="AR231" s="18"/>
      <c r="AS231" s="27"/>
      <c r="AT231" s="27"/>
      <c r="AU231" s="27"/>
      <c r="AV231" s="27"/>
      <c r="AW231" s="27"/>
      <c r="AX231" s="27"/>
      <c r="AY231" s="27"/>
      <c r="AZ231" s="27"/>
      <c r="BA231" s="27"/>
      <c r="BB231" s="27"/>
      <c r="BC231" s="27"/>
      <c r="BD231" s="27"/>
      <c r="BE231" s="27"/>
      <c r="BF231" s="27"/>
    </row>
  </sheetData>
  <autoFilter ref="A1:BF231" xr:uid="{4E5A6541-F17D-40D5-A39E-326B9851E8F9}"/>
  <phoneticPr fontId="29" type="noConversion"/>
  <hyperlinks>
    <hyperlink ref="BB4" r:id="rId1" xr:uid="{1DE32911-998D-4BAA-85D2-FEE96A3FF677}"/>
    <hyperlink ref="BB9" r:id="rId2" xr:uid="{376C7848-9B98-493E-8D5D-CB7363907336}"/>
    <hyperlink ref="BB13" r:id="rId3" xr:uid="{C1FB9874-9183-410B-9A0A-B88820B5D918}"/>
    <hyperlink ref="BB26" r:id="rId4" xr:uid="{E75BC16E-A2B8-408D-8711-DDEC9B68BC6D}"/>
    <hyperlink ref="BB35" r:id="rId5" xr:uid="{729890DE-EAF2-4400-98A4-EFB7AAAB55DA}"/>
    <hyperlink ref="BB46" r:id="rId6" xr:uid="{F04E8881-F100-4BE1-B341-C9551CE2C6F4}"/>
    <hyperlink ref="BB50" r:id="rId7" xr:uid="{97202628-7B6B-4916-BA5D-E28247891A6C}"/>
    <hyperlink ref="BB56" r:id="rId8" xr:uid="{4821689E-3951-4EB4-8A46-3D2E25D8FABF}"/>
    <hyperlink ref="BB61" r:id="rId9" xr:uid="{26B716B0-0F9A-4D7F-90D6-8911E1DACC25}"/>
    <hyperlink ref="BB69" r:id="rId10" xr:uid="{10468BF8-0D4D-4F05-A5EB-4E6C5F9D7C52}"/>
    <hyperlink ref="BB77" r:id="rId11" xr:uid="{B1EFAB25-57AC-4DF7-98F8-CC3A12735389}"/>
    <hyperlink ref="BB86" r:id="rId12" xr:uid="{B42004B1-C438-406A-8F2B-5B590B976804}"/>
    <hyperlink ref="BB84" r:id="rId13" xr:uid="{ACA3EEE6-13FC-4ABB-8955-5D75DEF0E417}"/>
    <hyperlink ref="BB101" r:id="rId14" xr:uid="{D5BEA739-363D-425C-B17A-1320F4DFA593}"/>
    <hyperlink ref="BB54" r:id="rId15" xr:uid="{04A70DD1-C709-4693-B38C-2F97DC24F8C5}"/>
    <hyperlink ref="BB115" r:id="rId16" xr:uid="{383715A3-38AB-4CF3-8DC5-63981D3269DB}"/>
    <hyperlink ref="BB121" r:id="rId17" xr:uid="{1B96577F-8F8B-4E27-9E15-DB9B1126124A}"/>
    <hyperlink ref="BB125" r:id="rId18" xr:uid="{956003A7-3012-4858-8CE3-76CDE1D62D0B}"/>
    <hyperlink ref="BB129" r:id="rId19" xr:uid="{D5E65C2F-531C-4AC0-BBB9-5142313CDE81}"/>
    <hyperlink ref="BB145" r:id="rId20" xr:uid="{481BB855-D5AC-48E7-97AD-DF683B9AB1AC}"/>
    <hyperlink ref="BB164" r:id="rId21" xr:uid="{D0D54E0C-D4D2-4489-ACC6-2728F31F61BD}"/>
    <hyperlink ref="BB177" r:id="rId22" xr:uid="{C2C5D979-0147-4488-84FF-0842B8B15BD3}"/>
    <hyperlink ref="BB179" r:id="rId23" xr:uid="{8B02471C-6809-4941-96D8-8B5605744677}"/>
    <hyperlink ref="BB181" r:id="rId24" xr:uid="{099AE6E9-4AD0-4B43-A4DF-C289380C0743}"/>
    <hyperlink ref="BB182" r:id="rId25" xr:uid="{A425D065-6872-4234-8A8F-D75567DC0C69}"/>
    <hyperlink ref="BB183" r:id="rId26" xr:uid="{C7D6F608-FC6A-4795-8BE3-9B988ECF1D06}"/>
    <hyperlink ref="BB186" r:id="rId27" xr:uid="{DF7A36B9-5E2D-4D4F-B55C-E04FC6A00996}"/>
    <hyperlink ref="C227" r:id="rId28" xr:uid="{92959258-3D04-4531-B959-266C980A1934}"/>
    <hyperlink ref="C219" r:id="rId29" xr:uid="{CD9DAA47-F5CD-41AD-B732-5FA2D074077F}"/>
    <hyperlink ref="C138" r:id="rId30" xr:uid="{AC8D29C4-9EA9-432B-859F-BDD78323E09D}"/>
    <hyperlink ref="C94" r:id="rId31" xr:uid="{ACFF8CA1-DA11-4DC5-A671-934BF4D82987}"/>
    <hyperlink ref="C101" r:id="rId32" xr:uid="{B002EA7A-46AD-4F62-928F-B2D07E7B9827}"/>
    <hyperlink ref="C109" r:id="rId33" xr:uid="{6D59223B-2008-4584-8BF7-9197D4DBE251}"/>
    <hyperlink ref="C202" r:id="rId34" xr:uid="{99AADEB2-3125-4636-A960-E3F6A117551D}"/>
    <hyperlink ref="C102" r:id="rId35" xr:uid="{64A3FB77-1E3C-4313-A21D-EFE83B8FA901}"/>
    <hyperlink ref="C17" r:id="rId36" xr:uid="{433C033E-431B-4BC9-9682-DE413CA4A498}"/>
  </hyperlinks>
  <pageMargins left="0.7" right="0.7" top="0.75" bottom="0.75" header="0.3" footer="0.3"/>
  <pageSetup paperSize="9" orientation="portrait" r:id="rId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FEBE ACADEMICS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Hlengiwe Vundla</dc:creator>
  <cp:lastModifiedBy>Hlengiwe Vundla</cp:lastModifiedBy>
  <dcterms:created xsi:type="dcterms:W3CDTF">2026-07-28T07:47:58Z</dcterms:created>
  <dcterms:modified xsi:type="dcterms:W3CDTF">2026-08-05T07:26:42Z</dcterms:modified>
</cp:coreProperties>
</file>